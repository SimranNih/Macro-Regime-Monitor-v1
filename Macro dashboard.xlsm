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ran Nihalani\OneDrive\Documents\Models\Macro Regime Monitor\"/>
    </mc:Choice>
  </mc:AlternateContent>
  <xr:revisionPtr revIDLastSave="0" documentId="13_ncr:1_{E3E1D163-1B60-4D07-927F-1A3C51DBAF4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thodology &amp; User Guide" sheetId="1" r:id="rId1"/>
    <sheet name="Macro Regime Monitor" sheetId="2" r:id="rId2"/>
    <sheet name="Central Bank Comparator" sheetId="5" r:id="rId3"/>
    <sheet name="Master Raw Data" sheetId="3" r:id="rId4"/>
    <sheet name="Ticker Map" sheetId="4" r:id="rId5"/>
    <sheet name="Policy Divergence" sheetId="6" state="hidden" r:id="rId6"/>
  </sheets>
  <definedNames>
    <definedName name="_xleta.ABS" hidden="1" xlm="1">#NAME?</definedName>
    <definedName name="_xleta.MA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5" l="1"/>
  <c r="I22" i="5" s="1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4" i="5"/>
  <c r="G6" i="5"/>
  <c r="I6" i="5" s="1"/>
  <c r="G7" i="5"/>
  <c r="I7" i="5" s="1"/>
  <c r="G8" i="5"/>
  <c r="I8" i="5" s="1"/>
  <c r="G9" i="5"/>
  <c r="I9" i="5" s="1"/>
  <c r="G10" i="5"/>
  <c r="I10" i="5" s="1"/>
  <c r="G11" i="5"/>
  <c r="I11" i="5" s="1"/>
  <c r="G12" i="5"/>
  <c r="I12" i="5" s="1"/>
  <c r="G13" i="5"/>
  <c r="I13" i="5" s="1"/>
  <c r="G14" i="5"/>
  <c r="I14" i="5" s="1"/>
  <c r="G15" i="5"/>
  <c r="I15" i="5" s="1"/>
  <c r="G16" i="5"/>
  <c r="I16" i="5" s="1"/>
  <c r="G17" i="5"/>
  <c r="I17" i="5" s="1"/>
  <c r="G18" i="5"/>
  <c r="I18" i="5" s="1"/>
  <c r="G19" i="5"/>
  <c r="I19" i="5" s="1"/>
  <c r="G20" i="5"/>
  <c r="I20" i="5" s="1"/>
  <c r="G21" i="5"/>
  <c r="I21" i="5" s="1"/>
  <c r="G4" i="5"/>
  <c r="I4" i="5" s="1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4" i="5"/>
  <c r="Z13" i="2"/>
  <c r="Z15" i="2"/>
  <c r="Z16" i="2"/>
  <c r="Z17" i="2"/>
  <c r="Z18" i="2"/>
  <c r="Z19" i="2"/>
  <c r="Z21" i="2"/>
  <c r="Z22" i="2"/>
  <c r="Z23" i="2"/>
  <c r="Z25" i="2"/>
  <c r="Z26" i="2"/>
  <c r="Z27" i="2"/>
  <c r="Z6" i="2"/>
  <c r="Z7" i="2"/>
  <c r="Z8" i="2"/>
  <c r="Z9" i="2"/>
  <c r="Z10" i="2"/>
  <c r="Z11" i="2"/>
  <c r="Z12" i="2"/>
  <c r="AZ7" i="2"/>
  <c r="AZ8" i="2"/>
  <c r="AZ9" i="2"/>
  <c r="AZ10" i="2"/>
  <c r="AZ11" i="2"/>
  <c r="AZ12" i="2"/>
  <c r="AZ13" i="2"/>
  <c r="AZ15" i="2"/>
  <c r="AZ16" i="2"/>
  <c r="AZ17" i="2"/>
  <c r="AZ18" i="2"/>
  <c r="AZ19" i="2"/>
  <c r="AZ21" i="2"/>
  <c r="AZ22" i="2"/>
  <c r="AZ23" i="2"/>
  <c r="AZ25" i="2"/>
  <c r="AZ26" i="2"/>
  <c r="AZ27" i="2"/>
  <c r="AZ6" i="2"/>
  <c r="AY7" i="2"/>
  <c r="AY8" i="2"/>
  <c r="AY9" i="2"/>
  <c r="AY10" i="2"/>
  <c r="AY11" i="2"/>
  <c r="AY12" i="2"/>
  <c r="AY13" i="2"/>
  <c r="AY15" i="2"/>
  <c r="AY16" i="2"/>
  <c r="AY17" i="2"/>
  <c r="AY18" i="2"/>
  <c r="AY19" i="2"/>
  <c r="AY21" i="2"/>
  <c r="AY22" i="2"/>
  <c r="AY23" i="2"/>
  <c r="AY25" i="2"/>
  <c r="AY26" i="2"/>
  <c r="AY27" i="2"/>
  <c r="AY6" i="2"/>
  <c r="AX7" i="2"/>
  <c r="AX8" i="2"/>
  <c r="AX9" i="2"/>
  <c r="AX10" i="2"/>
  <c r="AX11" i="2"/>
  <c r="AX12" i="2"/>
  <c r="AX13" i="2"/>
  <c r="AX15" i="2"/>
  <c r="AX16" i="2"/>
  <c r="AX17" i="2"/>
  <c r="AX18" i="2"/>
  <c r="AX19" i="2"/>
  <c r="AX21" i="2"/>
  <c r="AX22" i="2"/>
  <c r="AX23" i="2"/>
  <c r="AX25" i="2"/>
  <c r="AX26" i="2"/>
  <c r="AX27" i="2"/>
  <c r="AX6" i="2"/>
  <c r="AU7" i="2"/>
  <c r="AU8" i="2"/>
  <c r="AU9" i="2"/>
  <c r="AU10" i="2"/>
  <c r="AU11" i="2"/>
  <c r="AU12" i="2"/>
  <c r="AU13" i="2"/>
  <c r="AU15" i="2"/>
  <c r="AU16" i="2"/>
  <c r="AU17" i="2"/>
  <c r="AU18" i="2"/>
  <c r="AU19" i="2"/>
  <c r="AU21" i="2"/>
  <c r="AU22" i="2"/>
  <c r="AU23" i="2"/>
  <c r="AU25" i="2"/>
  <c r="AU26" i="2"/>
  <c r="AU27" i="2"/>
  <c r="AU6" i="2"/>
  <c r="AT7" i="2"/>
  <c r="AT8" i="2"/>
  <c r="AT9" i="2"/>
  <c r="AT10" i="2"/>
  <c r="AT11" i="2"/>
  <c r="AT12" i="2"/>
  <c r="AT13" i="2"/>
  <c r="AT15" i="2"/>
  <c r="AT16" i="2"/>
  <c r="AT17" i="2"/>
  <c r="AT18" i="2"/>
  <c r="AT19" i="2"/>
  <c r="AT21" i="2"/>
  <c r="AT22" i="2"/>
  <c r="AT23" i="2"/>
  <c r="AT25" i="2"/>
  <c r="AT26" i="2"/>
  <c r="AT27" i="2"/>
  <c r="AT6" i="2"/>
  <c r="AR7" i="2"/>
  <c r="AR8" i="2"/>
  <c r="AR9" i="2"/>
  <c r="AR10" i="2"/>
  <c r="AR11" i="2"/>
  <c r="AR12" i="2"/>
  <c r="AR13" i="2"/>
  <c r="AR15" i="2"/>
  <c r="AR16" i="2"/>
  <c r="AR17" i="2"/>
  <c r="AR18" i="2"/>
  <c r="AR19" i="2"/>
  <c r="AR21" i="2"/>
  <c r="AR22" i="2"/>
  <c r="AR23" i="2"/>
  <c r="AR25" i="2"/>
  <c r="AR26" i="2"/>
  <c r="AR27" i="2"/>
  <c r="AR6" i="2"/>
  <c r="AP15" i="2"/>
  <c r="AP16" i="2"/>
  <c r="AP17" i="2"/>
  <c r="AP18" i="2"/>
  <c r="AP19" i="2"/>
  <c r="AP21" i="2"/>
  <c r="AP22" i="2"/>
  <c r="AP23" i="2"/>
  <c r="AP25" i="2"/>
  <c r="AP26" i="2"/>
  <c r="AP7" i="2"/>
  <c r="AP8" i="2"/>
  <c r="AP9" i="2"/>
  <c r="AP10" i="2"/>
  <c r="AP11" i="2"/>
  <c r="AP12" i="2"/>
  <c r="AP13" i="2"/>
  <c r="AP6" i="2"/>
  <c r="W7" i="2"/>
  <c r="W8" i="2"/>
  <c r="W9" i="2"/>
  <c r="W10" i="2"/>
  <c r="W11" i="2"/>
  <c r="W12" i="2"/>
  <c r="W13" i="2"/>
  <c r="W15" i="2"/>
  <c r="W16" i="2"/>
  <c r="W17" i="2"/>
  <c r="W18" i="2"/>
  <c r="W19" i="2"/>
  <c r="W21" i="2"/>
  <c r="W22" i="2"/>
  <c r="W23" i="2"/>
  <c r="W25" i="2"/>
  <c r="W26" i="2"/>
  <c r="W27" i="2"/>
  <c r="W6" i="2"/>
  <c r="AM7" i="2"/>
  <c r="AM8" i="2"/>
  <c r="AM9" i="2"/>
  <c r="AM10" i="2"/>
  <c r="AM11" i="2"/>
  <c r="AM12" i="2"/>
  <c r="AM13" i="2"/>
  <c r="AM15" i="2"/>
  <c r="AM16" i="2"/>
  <c r="AM17" i="2"/>
  <c r="AM18" i="2"/>
  <c r="AM19" i="2"/>
  <c r="AM21" i="2"/>
  <c r="AM22" i="2"/>
  <c r="AM25" i="2"/>
  <c r="AM26" i="2"/>
  <c r="AM27" i="2"/>
  <c r="AM6" i="2"/>
  <c r="AL7" i="2"/>
  <c r="AL8" i="2"/>
  <c r="AL9" i="2"/>
  <c r="AL10" i="2"/>
  <c r="AL11" i="2"/>
  <c r="AL12" i="2"/>
  <c r="AL13" i="2"/>
  <c r="AL15" i="2"/>
  <c r="AL16" i="2"/>
  <c r="AL17" i="2"/>
  <c r="AL18" i="2"/>
  <c r="AL19" i="2"/>
  <c r="AL21" i="2"/>
  <c r="AL22" i="2"/>
  <c r="AL23" i="2"/>
  <c r="AL25" i="2"/>
  <c r="AL26" i="2"/>
  <c r="AL27" i="2"/>
  <c r="AL6" i="2"/>
  <c r="AK7" i="2"/>
  <c r="AK8" i="2"/>
  <c r="AK9" i="2"/>
  <c r="AK10" i="2"/>
  <c r="AK11" i="2"/>
  <c r="AK12" i="2"/>
  <c r="AK13" i="2"/>
  <c r="AK15" i="2"/>
  <c r="AK16" i="2"/>
  <c r="AK17" i="2"/>
  <c r="AK18" i="2"/>
  <c r="AK19" i="2"/>
  <c r="AK21" i="2"/>
  <c r="AK22" i="2"/>
  <c r="AK23" i="2"/>
  <c r="AK25" i="2"/>
  <c r="AK26" i="2"/>
  <c r="AK27" i="2"/>
  <c r="AK6" i="2"/>
  <c r="L26" i="2"/>
  <c r="L25" i="2"/>
  <c r="L22" i="2"/>
  <c r="L23" i="2"/>
  <c r="L21" i="2"/>
  <c r="L16" i="2"/>
  <c r="L17" i="2"/>
  <c r="L18" i="2"/>
  <c r="L19" i="2"/>
  <c r="L15" i="2"/>
  <c r="L7" i="2"/>
  <c r="L8" i="2"/>
  <c r="L9" i="2"/>
  <c r="L10" i="2"/>
  <c r="L11" i="2"/>
  <c r="L12" i="2"/>
  <c r="L13" i="2"/>
  <c r="L6" i="2"/>
  <c r="U23" i="2"/>
  <c r="U18" i="2"/>
  <c r="U19" i="2"/>
  <c r="U8" i="2"/>
  <c r="U9" i="2"/>
  <c r="U12" i="2"/>
  <c r="U13" i="2"/>
  <c r="T26" i="2"/>
  <c r="T27" i="2"/>
  <c r="T25" i="2"/>
  <c r="T22" i="2"/>
  <c r="T23" i="2"/>
  <c r="T21" i="2"/>
  <c r="T16" i="2"/>
  <c r="T17" i="2"/>
  <c r="T18" i="2"/>
  <c r="T19" i="2"/>
  <c r="T15" i="2"/>
  <c r="T7" i="2"/>
  <c r="T8" i="2"/>
  <c r="T9" i="2"/>
  <c r="T10" i="2"/>
  <c r="T11" i="2"/>
  <c r="T12" i="2"/>
  <c r="T13" i="2"/>
  <c r="T6" i="2"/>
  <c r="S26" i="2"/>
  <c r="U26" i="2" s="1"/>
  <c r="S27" i="2"/>
  <c r="U27" i="2" s="1"/>
  <c r="S25" i="2"/>
  <c r="U25" i="2" s="1"/>
  <c r="S22" i="2"/>
  <c r="U22" i="2" s="1"/>
  <c r="S23" i="2"/>
  <c r="S21" i="2"/>
  <c r="U21" i="2" s="1"/>
  <c r="S16" i="2"/>
  <c r="U16" i="2" s="1"/>
  <c r="S17" i="2"/>
  <c r="U17" i="2" s="1"/>
  <c r="S18" i="2"/>
  <c r="S19" i="2"/>
  <c r="S15" i="2"/>
  <c r="U15" i="2" s="1"/>
  <c r="S7" i="2"/>
  <c r="U7" i="2" s="1"/>
  <c r="S8" i="2"/>
  <c r="S9" i="2"/>
  <c r="S10" i="2"/>
  <c r="U10" i="2" s="1"/>
  <c r="S11" i="2"/>
  <c r="U11" i="2" s="1"/>
  <c r="S12" i="2"/>
  <c r="S13" i="2"/>
  <c r="S6" i="2"/>
  <c r="U6" i="2" s="1"/>
  <c r="R7" i="2"/>
  <c r="AV7" i="2" s="1"/>
  <c r="R8" i="2"/>
  <c r="AV8" i="2" s="1"/>
  <c r="R9" i="2"/>
  <c r="AV9" i="2" s="1"/>
  <c r="R10" i="2"/>
  <c r="AV10" i="2" s="1"/>
  <c r="R11" i="2"/>
  <c r="AV11" i="2" s="1"/>
  <c r="R12" i="2"/>
  <c r="AV12" i="2" s="1"/>
  <c r="R13" i="2"/>
  <c r="AV13" i="2" s="1"/>
  <c r="R15" i="2"/>
  <c r="AV15" i="2" s="1"/>
  <c r="R16" i="2"/>
  <c r="AV16" i="2" s="1"/>
  <c r="R17" i="2"/>
  <c r="AV17" i="2" s="1"/>
  <c r="R18" i="2"/>
  <c r="AV18" i="2" s="1"/>
  <c r="R19" i="2"/>
  <c r="AV19" i="2" s="1"/>
  <c r="R21" i="2"/>
  <c r="AV21" i="2" s="1"/>
  <c r="R22" i="2"/>
  <c r="AV22" i="2" s="1"/>
  <c r="R23" i="2"/>
  <c r="AV23" i="2" s="1"/>
  <c r="R25" i="2"/>
  <c r="AV25" i="2" s="1"/>
  <c r="R26" i="2"/>
  <c r="AV26" i="2" s="1"/>
  <c r="R27" i="2"/>
  <c r="AV27" i="2" s="1"/>
  <c r="R6" i="2"/>
  <c r="AV6" i="2" s="1"/>
  <c r="Q26" i="2"/>
  <c r="Q27" i="2"/>
  <c r="Q25" i="2"/>
  <c r="Q22" i="2"/>
  <c r="Q23" i="2"/>
  <c r="Q21" i="2"/>
  <c r="Q16" i="2"/>
  <c r="Q17" i="2"/>
  <c r="Q18" i="2"/>
  <c r="Q19" i="2"/>
  <c r="Q15" i="2"/>
  <c r="Q7" i="2"/>
  <c r="Q8" i="2"/>
  <c r="Q9" i="2"/>
  <c r="Q10" i="2"/>
  <c r="Q11" i="2"/>
  <c r="Q12" i="2"/>
  <c r="Q13" i="2"/>
  <c r="Q6" i="2"/>
  <c r="P26" i="2"/>
  <c r="P27" i="2"/>
  <c r="P25" i="2"/>
  <c r="P22" i="2"/>
  <c r="P23" i="2"/>
  <c r="P21" i="2"/>
  <c r="P15" i="2"/>
  <c r="P16" i="2"/>
  <c r="P17" i="2"/>
  <c r="P18" i="2"/>
  <c r="P19" i="2"/>
  <c r="P7" i="2"/>
  <c r="P8" i="2"/>
  <c r="P9" i="2"/>
  <c r="P10" i="2"/>
  <c r="P11" i="2"/>
  <c r="P12" i="2"/>
  <c r="P13" i="2"/>
  <c r="P6" i="2"/>
  <c r="O7" i="2"/>
  <c r="AS7" i="2" s="1"/>
  <c r="Y7" i="2" s="1"/>
  <c r="O8" i="2"/>
  <c r="AS8" i="2" s="1"/>
  <c r="O9" i="2"/>
  <c r="AS9" i="2" s="1"/>
  <c r="Y9" i="2" s="1"/>
  <c r="O10" i="2"/>
  <c r="AS10" i="2" s="1"/>
  <c r="O11" i="2"/>
  <c r="AS11" i="2" s="1"/>
  <c r="Y11" i="2" s="1"/>
  <c r="O12" i="2"/>
  <c r="AS12" i="2" s="1"/>
  <c r="Y12" i="2" s="1"/>
  <c r="O13" i="2"/>
  <c r="AS13" i="2" s="1"/>
  <c r="Y13" i="2" s="1"/>
  <c r="O15" i="2"/>
  <c r="AS15" i="2" s="1"/>
  <c r="O16" i="2"/>
  <c r="AS16" i="2" s="1"/>
  <c r="Y16" i="2" s="1"/>
  <c r="O17" i="2"/>
  <c r="AS17" i="2" s="1"/>
  <c r="Y17" i="2" s="1"/>
  <c r="O18" i="2"/>
  <c r="AS18" i="2" s="1"/>
  <c r="Y18" i="2" s="1"/>
  <c r="O19" i="2"/>
  <c r="AS19" i="2" s="1"/>
  <c r="O21" i="2"/>
  <c r="AS21" i="2" s="1"/>
  <c r="Y21" i="2" s="1"/>
  <c r="O22" i="2"/>
  <c r="AS22" i="2" s="1"/>
  <c r="Y22" i="2" s="1"/>
  <c r="O23" i="2"/>
  <c r="AS23" i="2" s="1"/>
  <c r="Y23" i="2" s="1"/>
  <c r="O25" i="2"/>
  <c r="AS25" i="2" s="1"/>
  <c r="O26" i="2"/>
  <c r="AS26" i="2" s="1"/>
  <c r="Y26" i="2" s="1"/>
  <c r="O27" i="2"/>
  <c r="AS27" i="2" s="1"/>
  <c r="Y27" i="2" s="1"/>
  <c r="O6" i="2"/>
  <c r="AS6" i="2" s="1"/>
  <c r="Y6" i="2" s="1"/>
  <c r="N7" i="2"/>
  <c r="N8" i="2"/>
  <c r="N9" i="2"/>
  <c r="N10" i="2"/>
  <c r="N11" i="2"/>
  <c r="N12" i="2"/>
  <c r="N13" i="2"/>
  <c r="N15" i="2"/>
  <c r="N16" i="2"/>
  <c r="N17" i="2"/>
  <c r="N18" i="2"/>
  <c r="N19" i="2"/>
  <c r="N21" i="2"/>
  <c r="N22" i="2"/>
  <c r="N23" i="2"/>
  <c r="N25" i="2"/>
  <c r="N26" i="2"/>
  <c r="N27" i="2"/>
  <c r="N6" i="2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3" i="3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K25" i="2"/>
  <c r="AO25" i="2" s="1"/>
  <c r="X25" i="2" s="1"/>
  <c r="J25" i="2"/>
  <c r="I25" i="2"/>
  <c r="H25" i="2"/>
  <c r="G25" i="2"/>
  <c r="F25" i="2"/>
  <c r="E25" i="2"/>
  <c r="D25" i="2"/>
  <c r="C25" i="2"/>
  <c r="B25" i="2"/>
  <c r="K23" i="2"/>
  <c r="AO23" i="2" s="1"/>
  <c r="X23" i="2" s="1"/>
  <c r="J23" i="2"/>
  <c r="H23" i="2"/>
  <c r="I23" i="2" s="1"/>
  <c r="G23" i="2"/>
  <c r="F23" i="2"/>
  <c r="E23" i="2"/>
  <c r="D23" i="2"/>
  <c r="C23" i="2"/>
  <c r="B23" i="2"/>
  <c r="J22" i="2"/>
  <c r="I22" i="2"/>
  <c r="H22" i="2"/>
  <c r="G22" i="2"/>
  <c r="F22" i="2"/>
  <c r="E22" i="2"/>
  <c r="D22" i="2"/>
  <c r="C22" i="2"/>
  <c r="B22" i="2"/>
  <c r="M21" i="2"/>
  <c r="J21" i="2"/>
  <c r="I21" i="2"/>
  <c r="H21" i="2"/>
  <c r="G21" i="2"/>
  <c r="F21" i="2"/>
  <c r="E21" i="2"/>
  <c r="D21" i="2"/>
  <c r="C21" i="2"/>
  <c r="B21" i="2"/>
  <c r="M19" i="2"/>
  <c r="J19" i="2"/>
  <c r="I19" i="2"/>
  <c r="H19" i="2"/>
  <c r="G19" i="2"/>
  <c r="F19" i="2"/>
  <c r="E19" i="2"/>
  <c r="D19" i="2"/>
  <c r="C19" i="2"/>
  <c r="B19" i="2"/>
  <c r="J18" i="2"/>
  <c r="I18" i="2"/>
  <c r="H18" i="2"/>
  <c r="G18" i="2"/>
  <c r="F18" i="2"/>
  <c r="E18" i="2"/>
  <c r="D18" i="2"/>
  <c r="C18" i="2"/>
  <c r="B18" i="2"/>
  <c r="K17" i="2"/>
  <c r="AO17" i="2" s="1"/>
  <c r="X17" i="2" s="1"/>
  <c r="J17" i="2"/>
  <c r="I17" i="2"/>
  <c r="H17" i="2"/>
  <c r="G17" i="2"/>
  <c r="F17" i="2"/>
  <c r="E17" i="2"/>
  <c r="D17" i="2"/>
  <c r="C17" i="2"/>
  <c r="B17" i="2"/>
  <c r="J16" i="2"/>
  <c r="I16" i="2"/>
  <c r="H16" i="2"/>
  <c r="G16" i="2"/>
  <c r="F16" i="2"/>
  <c r="E16" i="2"/>
  <c r="D16" i="2"/>
  <c r="C16" i="2"/>
  <c r="B16" i="2"/>
  <c r="M15" i="2"/>
  <c r="K15" i="2"/>
  <c r="AO15" i="2" s="1"/>
  <c r="X15" i="2" s="1"/>
  <c r="J15" i="2"/>
  <c r="I15" i="2"/>
  <c r="H15" i="2"/>
  <c r="G15" i="2"/>
  <c r="F15" i="2"/>
  <c r="E15" i="2"/>
  <c r="D15" i="2"/>
  <c r="C15" i="2"/>
  <c r="B15" i="2"/>
  <c r="M13" i="2"/>
  <c r="K13" i="2"/>
  <c r="AO13" i="2" s="1"/>
  <c r="X13" i="2" s="1"/>
  <c r="J13" i="2"/>
  <c r="I13" i="2"/>
  <c r="H13" i="2"/>
  <c r="G13" i="2"/>
  <c r="F13" i="2"/>
  <c r="E13" i="2"/>
  <c r="D13" i="2"/>
  <c r="C13" i="2"/>
  <c r="B13" i="2"/>
  <c r="J12" i="2"/>
  <c r="I12" i="2"/>
  <c r="H12" i="2"/>
  <c r="G12" i="2"/>
  <c r="F12" i="2"/>
  <c r="E12" i="2"/>
  <c r="D12" i="2"/>
  <c r="C12" i="2"/>
  <c r="B12" i="2"/>
  <c r="M11" i="2"/>
  <c r="K11" i="2"/>
  <c r="AO11" i="2" s="1"/>
  <c r="X11" i="2" s="1"/>
  <c r="J11" i="2"/>
  <c r="I11" i="2"/>
  <c r="H11" i="2"/>
  <c r="G11" i="2"/>
  <c r="F11" i="2"/>
  <c r="E11" i="2"/>
  <c r="D11" i="2"/>
  <c r="C11" i="2"/>
  <c r="B11" i="2"/>
  <c r="J10" i="2"/>
  <c r="I10" i="2"/>
  <c r="H10" i="2"/>
  <c r="G10" i="2"/>
  <c r="F10" i="2"/>
  <c r="E10" i="2"/>
  <c r="D10" i="2"/>
  <c r="C10" i="2"/>
  <c r="B10" i="2"/>
  <c r="M9" i="2"/>
  <c r="K9" i="2"/>
  <c r="AO9" i="2" s="1"/>
  <c r="X9" i="2" s="1"/>
  <c r="J9" i="2"/>
  <c r="I9" i="2"/>
  <c r="H9" i="2"/>
  <c r="G9" i="2"/>
  <c r="F9" i="2"/>
  <c r="E9" i="2"/>
  <c r="D9" i="2"/>
  <c r="C9" i="2"/>
  <c r="B9" i="2"/>
  <c r="J8" i="2"/>
  <c r="I8" i="2"/>
  <c r="H8" i="2"/>
  <c r="G8" i="2"/>
  <c r="F8" i="2"/>
  <c r="E8" i="2"/>
  <c r="D8" i="2"/>
  <c r="C8" i="2"/>
  <c r="B8" i="2"/>
  <c r="K7" i="2"/>
  <c r="AO7" i="2" s="1"/>
  <c r="X7" i="2" s="1"/>
  <c r="J7" i="2"/>
  <c r="I7" i="2"/>
  <c r="H7" i="2"/>
  <c r="G7" i="2"/>
  <c r="F7" i="2"/>
  <c r="E7" i="2"/>
  <c r="D7" i="2"/>
  <c r="C7" i="2"/>
  <c r="B7" i="2"/>
  <c r="J6" i="2"/>
  <c r="I6" i="2"/>
  <c r="H6" i="2"/>
  <c r="G6" i="2"/>
  <c r="F6" i="2"/>
  <c r="E6" i="2"/>
  <c r="D6" i="2"/>
  <c r="C6" i="2"/>
  <c r="B6" i="2"/>
  <c r="R24" i="3"/>
  <c r="M27" i="2" s="1"/>
  <c r="K24" i="3"/>
  <c r="K27" i="2" s="1"/>
  <c r="R23" i="3"/>
  <c r="M26" i="2" s="1"/>
  <c r="Q23" i="3"/>
  <c r="K23" i="3"/>
  <c r="K26" i="2" s="1"/>
  <c r="AO26" i="2" s="1"/>
  <c r="X26" i="2" s="1"/>
  <c r="R22" i="3"/>
  <c r="M25" i="2" s="1"/>
  <c r="Q22" i="3"/>
  <c r="K22" i="3"/>
  <c r="R21" i="3"/>
  <c r="R20" i="3"/>
  <c r="M23" i="2" s="1"/>
  <c r="Q20" i="3"/>
  <c r="K20" i="3"/>
  <c r="R19" i="3"/>
  <c r="M22" i="2" s="1"/>
  <c r="Q19" i="3"/>
  <c r="K19" i="3"/>
  <c r="K22" i="2" s="1"/>
  <c r="AO22" i="2" s="1"/>
  <c r="X22" i="2" s="1"/>
  <c r="R18" i="3"/>
  <c r="Q18" i="3"/>
  <c r="K18" i="3"/>
  <c r="K21" i="2" s="1"/>
  <c r="AO21" i="2" s="1"/>
  <c r="X21" i="2" s="1"/>
  <c r="R17" i="3"/>
  <c r="R16" i="3"/>
  <c r="Q16" i="3"/>
  <c r="K16" i="3"/>
  <c r="K19" i="2" s="1"/>
  <c r="AO19" i="2" s="1"/>
  <c r="X19" i="2" s="1"/>
  <c r="R15" i="3"/>
  <c r="M18" i="2" s="1"/>
  <c r="Q15" i="3"/>
  <c r="K15" i="3"/>
  <c r="K18" i="2" s="1"/>
  <c r="AO18" i="2" s="1"/>
  <c r="X18" i="2" s="1"/>
  <c r="R14" i="3"/>
  <c r="M17" i="2" s="1"/>
  <c r="Q14" i="3"/>
  <c r="K14" i="3"/>
  <c r="R13" i="3"/>
  <c r="M16" i="2" s="1"/>
  <c r="Q13" i="3"/>
  <c r="K13" i="3"/>
  <c r="K16" i="2" s="1"/>
  <c r="AO16" i="2" s="1"/>
  <c r="X16" i="2" s="1"/>
  <c r="R12" i="3"/>
  <c r="Q12" i="3"/>
  <c r="K12" i="3"/>
  <c r="R11" i="3"/>
  <c r="R10" i="3"/>
  <c r="Q10" i="3"/>
  <c r="K10" i="3"/>
  <c r="R9" i="3"/>
  <c r="M12" i="2" s="1"/>
  <c r="Q9" i="3"/>
  <c r="K9" i="3"/>
  <c r="K12" i="2" s="1"/>
  <c r="R8" i="3"/>
  <c r="Q8" i="3"/>
  <c r="K8" i="3"/>
  <c r="R7" i="3"/>
  <c r="M10" i="2" s="1"/>
  <c r="Q7" i="3"/>
  <c r="K7" i="3"/>
  <c r="K10" i="2" s="1"/>
  <c r="AO10" i="2" s="1"/>
  <c r="X10" i="2" s="1"/>
  <c r="R6" i="3"/>
  <c r="Q6" i="3"/>
  <c r="K6" i="3"/>
  <c r="R5" i="3"/>
  <c r="M8" i="2" s="1"/>
  <c r="Q5" i="3"/>
  <c r="K5" i="3"/>
  <c r="K8" i="2" s="1"/>
  <c r="R4" i="3"/>
  <c r="M7" i="2" s="1"/>
  <c r="Q4" i="3"/>
  <c r="K4" i="3"/>
  <c r="G5" i="5" s="1"/>
  <c r="I5" i="5" s="1"/>
  <c r="R3" i="3"/>
  <c r="M6" i="2" s="1"/>
  <c r="Q3" i="3"/>
  <c r="K3" i="3"/>
  <c r="K6" i="2" s="1"/>
  <c r="AO6" i="2" s="1"/>
  <c r="X6" i="2" s="1"/>
  <c r="AC18" i="2" l="1"/>
  <c r="AC23" i="2"/>
  <c r="AO27" i="2"/>
  <c r="X27" i="2" s="1"/>
  <c r="AO12" i="2"/>
  <c r="X12" i="2" s="1"/>
  <c r="AA12" i="2" s="1"/>
  <c r="AO8" i="2"/>
  <c r="X8" i="2" s="1"/>
  <c r="AC26" i="2"/>
  <c r="AA26" i="2"/>
  <c r="Y25" i="2"/>
  <c r="AC25" i="2" s="1"/>
  <c r="Y19" i="2"/>
  <c r="AC19" i="2" s="1"/>
  <c r="Y15" i="2"/>
  <c r="Y10" i="2"/>
  <c r="AC6" i="2"/>
  <c r="AA6" i="2"/>
  <c r="AC13" i="2"/>
  <c r="AA13" i="2"/>
  <c r="AC9" i="2"/>
  <c r="AA9" i="2"/>
  <c r="AC27" i="2"/>
  <c r="AA27" i="2"/>
  <c r="AA22" i="2"/>
  <c r="AC22" i="2"/>
  <c r="AC17" i="2"/>
  <c r="AA17" i="2"/>
  <c r="AC12" i="2"/>
  <c r="Y8" i="2"/>
  <c r="AC21" i="2"/>
  <c r="AA21" i="2"/>
  <c r="AC16" i="2"/>
  <c r="AA16" i="2"/>
  <c r="AC11" i="2"/>
  <c r="AA11" i="2"/>
  <c r="AC7" i="2"/>
  <c r="AA7" i="2"/>
  <c r="AA25" i="2"/>
  <c r="AA23" i="2"/>
  <c r="AA18" i="2"/>
  <c r="AB17" i="2" l="1"/>
  <c r="AA19" i="2"/>
  <c r="AC10" i="2"/>
  <c r="AA10" i="2"/>
  <c r="AC8" i="2"/>
  <c r="AA8" i="2"/>
  <c r="AC15" i="2"/>
  <c r="AA15" i="2"/>
  <c r="AB8" i="2" l="1"/>
  <c r="AB16" i="2"/>
  <c r="AB26" i="2"/>
  <c r="AB6" i="2"/>
  <c r="AB11" i="2"/>
  <c r="AB18" i="2"/>
  <c r="AB22" i="2"/>
  <c r="AB21" i="2"/>
  <c r="AB13" i="2"/>
  <c r="AB7" i="2"/>
  <c r="AB9" i="2"/>
  <c r="AB19" i="2"/>
  <c r="AB12" i="2"/>
  <c r="AB27" i="2"/>
  <c r="AB15" i="2"/>
  <c r="AB10" i="2"/>
  <c r="AB23" i="2"/>
  <c r="AB25" i="2"/>
  <c r="AE6" i="2" l="1"/>
  <c r="AE8" i="2"/>
  <c r="AD7" i="2" a="1"/>
  <c r="AD7" i="2" s="1"/>
  <c r="AD8" i="2" a="1"/>
  <c r="AD8" i="2" s="1"/>
  <c r="AE10" i="2"/>
  <c r="AE9" i="2"/>
  <c r="AD10" i="2" a="1"/>
  <c r="AD10" i="2" s="1"/>
  <c r="AE7" i="2"/>
  <c r="AD6" i="2" a="1"/>
  <c r="AD6" i="2" s="1"/>
  <c r="AD9" i="2" a="1"/>
  <c r="AD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<sst xmlns="http://schemas.openxmlformats.org/spreadsheetml/2006/main" count="506" uniqueCount="319">
  <si>
    <t>Country</t>
  </si>
  <si>
    <t>Economic Indicators</t>
  </si>
  <si>
    <t>Policy Score</t>
  </si>
  <si>
    <t xml:space="preserve">Financial Conditions &amp; Sentiment </t>
  </si>
  <si>
    <t>Developed Markets</t>
  </si>
  <si>
    <t>CPI</t>
  </si>
  <si>
    <t>CPI Previous</t>
  </si>
  <si>
    <t>GDP Growth</t>
  </si>
  <si>
    <t>GDP Growth Previous</t>
  </si>
  <si>
    <t>Unemployment</t>
  </si>
  <si>
    <t>Unemployment Previous</t>
  </si>
  <si>
    <t>Manufacturing PMI</t>
  </si>
  <si>
    <t>Manufacturing PMI Previous</t>
  </si>
  <si>
    <t>Policy Rate</t>
  </si>
  <si>
    <t>Real Rate</t>
  </si>
  <si>
    <t>Inflation Rate</t>
  </si>
  <si>
    <t>Inflation Target</t>
  </si>
  <si>
    <t>Target Lower</t>
  </si>
  <si>
    <t>Target Mid</t>
  </si>
  <si>
    <t>Target Upper</t>
  </si>
  <si>
    <t>Inflation Gap*</t>
  </si>
  <si>
    <t>Policy Rate Change</t>
  </si>
  <si>
    <t>Previous Policy Rate</t>
  </si>
  <si>
    <t>10Y Yield</t>
  </si>
  <si>
    <t>2Y Yield</t>
  </si>
  <si>
    <t>Equity Index Current</t>
  </si>
  <si>
    <t>Equity 3M</t>
  </si>
  <si>
    <t>Equity 12M</t>
  </si>
  <si>
    <t>FX Current</t>
  </si>
  <si>
    <t>FX 3M Ago</t>
  </si>
  <si>
    <t>FX 12 M Ago</t>
  </si>
  <si>
    <t>Sovereign Spread</t>
  </si>
  <si>
    <t>US</t>
  </si>
  <si>
    <t>Eurozone</t>
  </si>
  <si>
    <t>UK</t>
  </si>
  <si>
    <t>Japan</t>
  </si>
  <si>
    <t>Australia</t>
  </si>
  <si>
    <t>2.0-3.0</t>
  </si>
  <si>
    <t>Switzerland</t>
  </si>
  <si>
    <t xml:space="preserve"> &lt;2</t>
  </si>
  <si>
    <t>Norway</t>
  </si>
  <si>
    <t>Canada</t>
  </si>
  <si>
    <t>2.00 +/-1.0</t>
  </si>
  <si>
    <t>Asia Growth Block</t>
  </si>
  <si>
    <t>China</t>
  </si>
  <si>
    <t>around 3</t>
  </si>
  <si>
    <t>India</t>
  </si>
  <si>
    <t>4.00+/-2.0</t>
  </si>
  <si>
    <t>South Korea</t>
  </si>
  <si>
    <t>Taiwan</t>
  </si>
  <si>
    <t>Indonesia</t>
  </si>
  <si>
    <t>3.00% +/-1.0%</t>
  </si>
  <si>
    <t>Latin America</t>
  </si>
  <si>
    <t>Brazil</t>
  </si>
  <si>
    <t>3.75% +/-1.5%</t>
  </si>
  <si>
    <t>Mexico</t>
  </si>
  <si>
    <t>Chile</t>
  </si>
  <si>
    <t>N/A</t>
  </si>
  <si>
    <t>Strategic Markets</t>
  </si>
  <si>
    <t>South Africa</t>
  </si>
  <si>
    <t>3.00% - 6.0%</t>
  </si>
  <si>
    <t>Turkey</t>
  </si>
  <si>
    <t>5.00% +/-2%</t>
  </si>
  <si>
    <t>Saudi Arabia</t>
  </si>
  <si>
    <t>No explicit target</t>
  </si>
  <si>
    <t>Mexico,Norway, Indonesia</t>
  </si>
  <si>
    <t>3yr and 10yr</t>
  </si>
  <si>
    <t>SA</t>
  </si>
  <si>
    <t>5yr and 10yr</t>
  </si>
  <si>
    <t xml:space="preserve">Saudi </t>
  </si>
  <si>
    <t>Outdated Data</t>
  </si>
  <si>
    <t>Countries in the model:</t>
  </si>
  <si>
    <t>Indicators and Scores used in the Macro Regime Monitor</t>
  </si>
  <si>
    <t>Core DM</t>
  </si>
  <si>
    <t>LatAm</t>
  </si>
  <si>
    <t>Other Strategic Markets</t>
  </si>
  <si>
    <t>Pillar 1 - Macro Score</t>
  </si>
  <si>
    <t>Pillar 2 - Policy Score</t>
  </si>
  <si>
    <t>Pillar 3 - Financial Conditions Score</t>
  </si>
  <si>
    <t>Pillar 4 - Sentiment Score</t>
  </si>
  <si>
    <t>S. Africa</t>
  </si>
  <si>
    <t>Metric</t>
  </si>
  <si>
    <t>CPI YoY</t>
  </si>
  <si>
    <t>Inflation level</t>
  </si>
  <si>
    <t>Central bank stance</t>
  </si>
  <si>
    <t>Rates shock</t>
  </si>
  <si>
    <t>Equity Momentum</t>
  </si>
  <si>
    <t>Risk appetite</t>
  </si>
  <si>
    <t>CPI Momentum**</t>
  </si>
  <si>
    <t>Inflation trend</t>
  </si>
  <si>
    <t>inflation adjusted restrictiveness</t>
  </si>
  <si>
    <t>Yield Curve Slope</t>
  </si>
  <si>
    <t>Growth expectations</t>
  </si>
  <si>
    <t>FX Momentum</t>
  </si>
  <si>
    <t>Capital flow sentiment</t>
  </si>
  <si>
    <t>Economic activity</t>
  </si>
  <si>
    <t>Inflation rv to target</t>
  </si>
  <si>
    <t>Equity Market Return</t>
  </si>
  <si>
    <t>Volatility Proxy</t>
  </si>
  <si>
    <t>Market uncertainty</t>
  </si>
  <si>
    <t>GDP Momentum**</t>
  </si>
  <si>
    <t>Growth trend</t>
  </si>
  <si>
    <t>Policy direction</t>
  </si>
  <si>
    <t>FX Performance</t>
  </si>
  <si>
    <t>Credit Risk Proxy</t>
  </si>
  <si>
    <t>Investor risk perception</t>
  </si>
  <si>
    <t>Labour market health</t>
  </si>
  <si>
    <t>Credit Spread Proxy</t>
  </si>
  <si>
    <t>Funding stress</t>
  </si>
  <si>
    <t>Unemployment Momentum**</t>
  </si>
  <si>
    <t>Labour market direction</t>
  </si>
  <si>
    <t>Business conditions</t>
  </si>
  <si>
    <t>Regime Classification</t>
  </si>
  <si>
    <t>PMI Momentum**</t>
  </si>
  <si>
    <t>Leading growth signal</t>
  </si>
  <si>
    <t>Regime</t>
  </si>
  <si>
    <t>Description</t>
  </si>
  <si>
    <t>Expansion</t>
  </si>
  <si>
    <t>Strong growth, supportive conditions</t>
  </si>
  <si>
    <t xml:space="preserve"> *Inflation Gap = Current Inflation - Central Bank Inflation Target</t>
  </si>
  <si>
    <t>Late Cycle</t>
  </si>
  <si>
    <t>Strong growth, restrictive policy</t>
  </si>
  <si>
    <t xml:space="preserve"> **Momentum = Current Reading - Previous Reading</t>
  </si>
  <si>
    <t>Recovery</t>
  </si>
  <si>
    <t>Improving growth and sentiment</t>
  </si>
  <si>
    <t>Applies to CPI,GDP,PMI,Unemployment</t>
  </si>
  <si>
    <t>Stress</t>
  </si>
  <si>
    <t>Tight conditions and weak sentiment</t>
  </si>
  <si>
    <t>Stagflation Shock</t>
  </si>
  <si>
    <t>Weak growth and elevated inflation</t>
  </si>
  <si>
    <t>Macro Policy and Market Impact Monitor</t>
  </si>
  <si>
    <t>Last Updated: DD-MM-YYYY</t>
  </si>
  <si>
    <t>Python Time Stamp</t>
  </si>
  <si>
    <t>Financial Condition</t>
  </si>
  <si>
    <t>Sentiment</t>
  </si>
  <si>
    <t>Scores</t>
  </si>
  <si>
    <t>CPI Momentum</t>
  </si>
  <si>
    <t>GDP Momentum</t>
  </si>
  <si>
    <t>Unemployment Momentum</t>
  </si>
  <si>
    <t>PMI Momentum</t>
  </si>
  <si>
    <t>YC Slope</t>
  </si>
  <si>
    <t>Macro</t>
  </si>
  <si>
    <t>Policy</t>
  </si>
  <si>
    <t xml:space="preserve"> *Inflation Gap = Current Inflation - Inflation Target (Target Mid)</t>
  </si>
  <si>
    <t>Equity Ticker</t>
  </si>
  <si>
    <t>FX Ticker</t>
  </si>
  <si>
    <t>^GSPC</t>
  </si>
  <si>
    <t>DX-Y.NYB</t>
  </si>
  <si>
    <t>^STOXX50E</t>
  </si>
  <si>
    <t>EURUSD=X</t>
  </si>
  <si>
    <t>^FTSE</t>
  </si>
  <si>
    <t>GBPUSD=X</t>
  </si>
  <si>
    <t>^N225</t>
  </si>
  <si>
    <t>JPY=X</t>
  </si>
  <si>
    <t>^AXJO</t>
  </si>
  <si>
    <t>AUDUSD=X</t>
  </si>
  <si>
    <t>^SSMI</t>
  </si>
  <si>
    <t>CHF=X</t>
  </si>
  <si>
    <t>OBX.OL</t>
  </si>
  <si>
    <t>NOK=X</t>
  </si>
  <si>
    <t>^GSPTSE</t>
  </si>
  <si>
    <t>CAD=X</t>
  </si>
  <si>
    <t>000300.SS</t>
  </si>
  <si>
    <t>CNY=X</t>
  </si>
  <si>
    <t>^NSEI</t>
  </si>
  <si>
    <t>INR=X</t>
  </si>
  <si>
    <t>^KSII</t>
  </si>
  <si>
    <t>KRW=X</t>
  </si>
  <si>
    <t>^TWII</t>
  </si>
  <si>
    <t>TWD=X</t>
  </si>
  <si>
    <t>^JKSE</t>
  </si>
  <si>
    <t>IDR=X</t>
  </si>
  <si>
    <t>^BVSP</t>
  </si>
  <si>
    <t>BRL=X</t>
  </si>
  <si>
    <t>^MXX</t>
  </si>
  <si>
    <t>MXN=X</t>
  </si>
  <si>
    <t>IPSA.SN</t>
  </si>
  <si>
    <t>CLP=X</t>
  </si>
  <si>
    <t>J203.JO</t>
  </si>
  <si>
    <t>ZAR=X</t>
  </si>
  <si>
    <t>XU100.IS</t>
  </si>
  <si>
    <t>TRY=X</t>
  </si>
  <si>
    <t>^TASI.SR</t>
  </si>
  <si>
    <t>SAR=X</t>
  </si>
  <si>
    <t>Market Stress Proxy</t>
  </si>
  <si>
    <t>Scoring Logic</t>
  </si>
  <si>
    <t>Macro Score</t>
  </si>
  <si>
    <t>Indicator</t>
  </si>
  <si>
    <t>Direction</t>
  </si>
  <si>
    <t>Lower Better</t>
  </si>
  <si>
    <t>Higher Better</t>
  </si>
  <si>
    <t>Weight</t>
  </si>
  <si>
    <t>Inflation Gap</t>
  </si>
  <si>
    <t>Smaller Better</t>
  </si>
  <si>
    <t>Depends</t>
  </si>
  <si>
    <t>Financial Conditions Score</t>
  </si>
  <si>
    <t>Sentiment Score</t>
  </si>
  <si>
    <t>(Growth)</t>
  </si>
  <si>
    <t>(Inflation + Central Banks)</t>
  </si>
  <si>
    <t>Markets)</t>
  </si>
  <si>
    <t>(Risk Appetite)</t>
  </si>
  <si>
    <t>NA</t>
  </si>
  <si>
    <t>GDP SCORE</t>
  </si>
  <si>
    <t>UNEMPLOYMENT SCORE</t>
  </si>
  <si>
    <t>PMI SCORE</t>
  </si>
  <si>
    <t>REAL RATE SCORE</t>
  </si>
  <si>
    <t>INFLATION GAP SCORE</t>
  </si>
  <si>
    <t>10Y Score</t>
  </si>
  <si>
    <t>YC Slope Score</t>
  </si>
  <si>
    <t>Equity Return Score</t>
  </si>
  <si>
    <t>FX Perf Score</t>
  </si>
  <si>
    <t>Credit Spread Score</t>
  </si>
  <si>
    <t>Eq.Mom Score</t>
  </si>
  <si>
    <t>FX Mom Score</t>
  </si>
  <si>
    <t>Market Stress Score</t>
  </si>
  <si>
    <t>Final Composite Score</t>
  </si>
  <si>
    <t>Country Ranking</t>
  </si>
  <si>
    <t>TOP 5</t>
  </si>
  <si>
    <t>BOTTOM 5</t>
  </si>
  <si>
    <t>Ranking ref</t>
  </si>
  <si>
    <t>Macro Regime Monitor Methodology</t>
  </si>
  <si>
    <t>Macro Score:</t>
  </si>
  <si>
    <t>GDP Momentum, Unemployment Momentum, PMI Momentum</t>
  </si>
  <si>
    <t>Policy Score:</t>
  </si>
  <si>
    <t>Real Rate, Inflation Gap</t>
  </si>
  <si>
    <t>Financial Conditions:</t>
  </si>
  <si>
    <t>10Y Yield, Yield Curve Slope, Equity Returns, FX Performance, Sovereign Spread</t>
  </si>
  <si>
    <t>Sentiment:</t>
  </si>
  <si>
    <t>Equity Momentum, FX Momentum, Market Stress</t>
  </si>
  <si>
    <t>Composite Score:</t>
  </si>
  <si>
    <t>30% Macro</t>
  </si>
  <si>
    <t>25% Policy</t>
  </si>
  <si>
    <t>25% Financial Conditions</t>
  </si>
  <si>
    <t>20% Sentiment</t>
  </si>
  <si>
    <t>Indicator Standardization Methodology</t>
  </si>
  <si>
    <t>To enable comparison across countries and indicators with different units, all underlying indicators are converted into standardized 0–100 scores using Min-Max normalization.</t>
  </si>
  <si>
    <t>For indicators where a higher value is considered favourable (e.g., GDP Momentum, PMI Momentum, Yield Curve Slope, Equity Returns):</t>
  </si>
  <si>
    <t>Score = ((Value - Minimum) / (Maximum - Minimum)) × 100</t>
  </si>
  <si>
    <t>Interpretation:</t>
  </si>
  <si>
    <t>100 = strongest country in the sample</t>
  </si>
  <si>
    <t>0 = weakest country in the sample</t>
  </si>
  <si>
    <t>For indicators where a lower value is considered favourable (e.g., Unemployment Momentum, 10Y Government Bond Yield, FX Depreciation, Sovereign Spread, Inflation Gap):</t>
  </si>
  <si>
    <t>Score = ((Maximum - Value) / (Maximum - Minimum)) × 100</t>
  </si>
  <si>
    <t>100 = most favourable observation in the sample</t>
  </si>
  <si>
    <t>0 = least favourable observation in the sample</t>
  </si>
  <si>
    <t>Indicator Directionality</t>
  </si>
  <si>
    <t>Higher is Better:</t>
  </si>
  <si>
    <t>Lower is Better:</t>
  </si>
  <si>
    <t>GDP Momentum, PMI Momentum, Real Rate, Yield Curve Slope, Equity Momentum, Equity Market Returns</t>
  </si>
  <si>
    <t>Unemployment Momentum, Inflation Gap, 10Y Govt Bond yield, FX Depreciation, Sovereign Spread, Market Stress Proxy</t>
  </si>
  <si>
    <t xml:space="preserve">Policy Rate Change is monitored but excluded from the V1 scoring framework </t>
  </si>
  <si>
    <t>because the economic interpretation of rate hikes and cuts is context dependent</t>
  </si>
  <si>
    <t>Scores are calculated relative to the selected country universe and therefore represent</t>
  </si>
  <si>
    <t xml:space="preserve"> relative macro attractiveness rather than absolute economic strength.</t>
  </si>
  <si>
    <t xml:space="preserve">FX Performance is measured as local currency per USD. An increase indicates </t>
  </si>
  <si>
    <t>currency depreciation and is therefore treated as unfavourable in the scoring framework.</t>
  </si>
  <si>
    <t xml:space="preserve">Market Stress Proxy is derived from the magnitude of Equity Momentum and </t>
  </si>
  <si>
    <t>FX Momentum moves and is intended to capture market uncertainty.</t>
  </si>
  <si>
    <t>Version 1 Limitations</t>
  </si>
  <si>
    <t>GDP data is subject to publication lags and revisions.</t>
  </si>
  <si>
    <t>Credit Risk Proxy is currently excluded pending reliable cross-country data integration.</t>
  </si>
  <si>
    <t>Volatility Proxy is currently derived from available market indicators rather than implied volatility indices.</t>
  </si>
  <si>
    <t>Scores are cross-sectional and should not be interpreted as forecasts.</t>
  </si>
  <si>
    <t>Outputs</t>
  </si>
  <si>
    <t>Central Bank Dashboard</t>
  </si>
  <si>
    <t>Central Bank</t>
  </si>
  <si>
    <t>Target</t>
  </si>
  <si>
    <t>Last Move</t>
  </si>
  <si>
    <t>Federal Reserve</t>
  </si>
  <si>
    <t>ECB</t>
  </si>
  <si>
    <t>Bank of England</t>
  </si>
  <si>
    <t>Bank of Japan</t>
  </si>
  <si>
    <t>Reserve Bank of India</t>
  </si>
  <si>
    <t>Swiss National Bank</t>
  </si>
  <si>
    <t>Norges Bank</t>
  </si>
  <si>
    <t>Bank of Canada</t>
  </si>
  <si>
    <t>People's Bank of China</t>
  </si>
  <si>
    <t>Reserve Bank of Australia</t>
  </si>
  <si>
    <t>Bank of Korea</t>
  </si>
  <si>
    <t>Central Bank of the Republic of China</t>
  </si>
  <si>
    <t>Bank Indonesia</t>
  </si>
  <si>
    <t>Banco Central do Brasil</t>
  </si>
  <si>
    <t>Banco de Mexico</t>
  </si>
  <si>
    <t>Banco Central de Chile</t>
  </si>
  <si>
    <t>South African Reserve Bank</t>
  </si>
  <si>
    <t>Central Bank of the Republic of Turkiye</t>
  </si>
  <si>
    <t>Saudi Central Bank</t>
  </si>
  <si>
    <t>Quadrant</t>
  </si>
  <si>
    <t>Current CPI Index</t>
  </si>
  <si>
    <t>Central Bank Comparator</t>
  </si>
  <si>
    <t>The Central Bank Comparator evaluates the monetary policy stance of major central banks across the 19-country universe.</t>
  </si>
  <si>
    <t>Key Metrics</t>
  </si>
  <si>
    <t>Inflation Gap = Current Inflation − Inflation Target</t>
  </si>
  <si>
    <t>Real Rate = Policy Rate − Current Inflation</t>
  </si>
  <si>
    <t>Last Move:</t>
  </si>
  <si>
    <t>Hike = Current Rate &gt; Previous Rate</t>
  </si>
  <si>
    <t>Cut = Current Rate &lt; Previous Rate</t>
  </si>
  <si>
    <t>Hold = No Change</t>
  </si>
  <si>
    <t>Central Bank Classification</t>
  </si>
  <si>
    <t>Restrictive</t>
  </si>
  <si>
    <t>Real Rate &gt; 0</t>
  </si>
  <si>
    <t>Inflation Gap &lt; 1</t>
  </si>
  <si>
    <t>Fighting Inflation</t>
  </si>
  <si>
    <t>Inflation Gap ≥ 1</t>
  </si>
  <si>
    <t>Accommodative</t>
  </si>
  <si>
    <t>Real Rate &lt; 0</t>
  </si>
  <si>
    <t>Behind the Curve</t>
  </si>
  <si>
    <t>Future Enhancements</t>
  </si>
  <si>
    <t>Central Bank Policy Quadrant (Real Rate vs Inflation Gap)</t>
  </si>
  <si>
    <t>Restrictiveness Rankings</t>
  </si>
  <si>
    <t>Inflation Credibility Rankings</t>
  </si>
  <si>
    <t>Policy Divergence Monitor</t>
  </si>
  <si>
    <t>FX Implications Dashboard</t>
  </si>
  <si>
    <t>Objective</t>
  </si>
  <si>
    <t>Rationale</t>
  </si>
  <si>
    <t>Economic Data is hardcoded due to lack of access to some APIs</t>
  </si>
  <si>
    <t>Currency confidence</t>
  </si>
  <si>
    <t>Source: Yahoo Finance, Trading Economics</t>
  </si>
  <si>
    <t>Last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</si>
</sst>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Calibri"/>
      <family val="2"/>
    </font>
    <font>
      <sz val="1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2" borderId="0" xfId="0" applyFill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3" borderId="2" xfId="0" applyFont="1" applyFill="1" applyBorder="1"/>
    <xf numFmtId="0" fontId="0" fillId="7" borderId="1" xfId="0" applyFill="1" applyBorder="1"/>
    <xf numFmtId="0" fontId="0" fillId="0" borderId="4" xfId="0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7" borderId="5" xfId="0" applyFill="1" applyBorder="1"/>
    <xf numFmtId="0" fontId="0" fillId="10" borderId="1" xfId="0" applyFill="1" applyBorder="1"/>
    <xf numFmtId="0" fontId="0" fillId="3" borderId="5" xfId="0" applyFill="1" applyBorder="1"/>
    <xf numFmtId="0" fontId="0" fillId="3" borderId="3" xfId="0" applyFill="1" applyBorder="1"/>
    <xf numFmtId="0" fontId="0" fillId="3" borderId="6" xfId="0" applyFill="1" applyBorder="1"/>
    <xf numFmtId="0" fontId="0" fillId="4" borderId="5" xfId="0" applyFill="1" applyBorder="1"/>
    <xf numFmtId="0" fontId="0" fillId="4" borderId="3" xfId="0" applyFill="1" applyBorder="1"/>
    <xf numFmtId="0" fontId="0" fillId="4" borderId="6" xfId="0" applyFill="1" applyBorder="1"/>
    <xf numFmtId="0" fontId="0" fillId="5" borderId="5" xfId="0" applyFill="1" applyBorder="1"/>
    <xf numFmtId="0" fontId="0" fillId="5" borderId="3" xfId="0" applyFill="1" applyBorder="1"/>
    <xf numFmtId="0" fontId="0" fillId="5" borderId="6" xfId="0" applyFill="1" applyBorder="1"/>
    <xf numFmtId="0" fontId="0" fillId="6" borderId="5" xfId="0" applyFill="1" applyBorder="1"/>
    <xf numFmtId="0" fontId="0" fillId="6" borderId="3" xfId="0" applyFill="1" applyBorder="1"/>
    <xf numFmtId="0" fontId="0" fillId="6" borderId="6" xfId="0" applyFill="1" applyBorder="1"/>
    <xf numFmtId="0" fontId="0" fillId="7" borderId="9" xfId="0" applyFill="1" applyBorder="1"/>
    <xf numFmtId="0" fontId="0" fillId="8" borderId="5" xfId="0" applyFill="1" applyBorder="1"/>
    <xf numFmtId="0" fontId="0" fillId="9" borderId="5" xfId="0" applyFill="1" applyBorder="1"/>
    <xf numFmtId="0" fontId="0" fillId="6" borderId="0" xfId="0" applyFill="1"/>
    <xf numFmtId="0" fontId="1" fillId="11" borderId="0" xfId="0" applyFont="1" applyFill="1"/>
    <xf numFmtId="0" fontId="0" fillId="0" borderId="0" xfId="0" applyAlignment="1">
      <alignment horizontal="center"/>
    </xf>
    <xf numFmtId="0" fontId="1" fillId="12" borderId="10" xfId="0" applyFont="1" applyFill="1" applyBorder="1"/>
    <xf numFmtId="0" fontId="0" fillId="7" borderId="0" xfId="0" applyFill="1"/>
    <xf numFmtId="0" fontId="0" fillId="0" borderId="1" xfId="0" applyBorder="1"/>
    <xf numFmtId="0" fontId="0" fillId="0" borderId="6" xfId="0" applyBorder="1"/>
    <xf numFmtId="0" fontId="0" fillId="2" borderId="4" xfId="0" applyFill="1" applyBorder="1"/>
    <xf numFmtId="0" fontId="0" fillId="2" borderId="0" xfId="0" applyFill="1" applyAlignment="1">
      <alignment horizontal="center"/>
    </xf>
    <xf numFmtId="0" fontId="0" fillId="3" borderId="7" xfId="0" applyFill="1" applyBorder="1"/>
    <xf numFmtId="0" fontId="0" fillId="3" borderId="4" xfId="0" applyFill="1" applyBorder="1"/>
    <xf numFmtId="0" fontId="0" fillId="3" borderId="8" xfId="0" applyFill="1" applyBorder="1"/>
    <xf numFmtId="0" fontId="1" fillId="4" borderId="2" xfId="0" applyFont="1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8" xfId="0" applyFill="1" applyBorder="1"/>
    <xf numFmtId="0" fontId="1" fillId="5" borderId="2" xfId="0" applyFont="1" applyFill="1" applyBorder="1"/>
    <xf numFmtId="0" fontId="0" fillId="5" borderId="7" xfId="0" applyFill="1" applyBorder="1"/>
    <xf numFmtId="0" fontId="0" fillId="5" borderId="4" xfId="0" applyFill="1" applyBorder="1"/>
    <xf numFmtId="0" fontId="0" fillId="5" borderId="8" xfId="0" applyFill="1" applyBorder="1"/>
    <xf numFmtId="0" fontId="1" fillId="6" borderId="2" xfId="0" applyFont="1" applyFill="1" applyBorder="1"/>
    <xf numFmtId="0" fontId="0" fillId="6" borderId="7" xfId="0" applyFill="1" applyBorder="1"/>
    <xf numFmtId="0" fontId="0" fillId="6" borderId="4" xfId="0" applyFill="1" applyBorder="1"/>
    <xf numFmtId="0" fontId="0" fillId="6" borderId="8" xfId="0" applyFill="1" applyBorder="1"/>
    <xf numFmtId="0" fontId="2" fillId="0" borderId="1" xfId="0" applyFont="1" applyBorder="1"/>
    <xf numFmtId="0" fontId="3" fillId="0" borderId="1" xfId="0" applyFont="1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11" xfId="0" applyFill="1" applyBorder="1"/>
    <xf numFmtId="0" fontId="0" fillId="0" borderId="8" xfId="0" applyBorder="1"/>
    <xf numFmtId="0" fontId="0" fillId="0" borderId="2" xfId="0" applyBorder="1"/>
    <xf numFmtId="0" fontId="2" fillId="0" borderId="2" xfId="0" applyFont="1" applyBorder="1"/>
    <xf numFmtId="0" fontId="1" fillId="0" borderId="2" xfId="0" applyFont="1" applyBorder="1"/>
    <xf numFmtId="0" fontId="3" fillId="0" borderId="2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9" xfId="0" applyBorder="1"/>
    <xf numFmtId="0" fontId="0" fillId="0" borderId="28" xfId="0" applyBorder="1"/>
    <xf numFmtId="2" fontId="0" fillId="0" borderId="1" xfId="0" applyNumberFormat="1" applyBorder="1"/>
    <xf numFmtId="2" fontId="0" fillId="0" borderId="21" xfId="0" applyNumberFormat="1" applyBorder="1"/>
    <xf numFmtId="2" fontId="0" fillId="0" borderId="20" xfId="0" applyNumberFormat="1" applyBorder="1"/>
    <xf numFmtId="2" fontId="0" fillId="0" borderId="23" xfId="0" applyNumberFormat="1" applyBorder="1"/>
    <xf numFmtId="0" fontId="0" fillId="13" borderId="0" xfId="0" applyFill="1"/>
    <xf numFmtId="2" fontId="0" fillId="0" borderId="22" xfId="0" applyNumberFormat="1" applyBorder="1"/>
    <xf numFmtId="2" fontId="0" fillId="9" borderId="3" xfId="0" applyNumberFormat="1" applyFill="1" applyBorder="1"/>
    <xf numFmtId="0" fontId="0" fillId="14" borderId="2" xfId="0" applyFill="1" applyBorder="1"/>
    <xf numFmtId="0" fontId="0" fillId="14" borderId="7" xfId="0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13" borderId="0" xfId="0" applyFill="1" applyAlignment="1">
      <alignment vertical="center"/>
    </xf>
    <xf numFmtId="2" fontId="0" fillId="12" borderId="14" xfId="0" applyNumberFormat="1" applyFill="1" applyBorder="1"/>
    <xf numFmtId="1" fontId="0" fillId="12" borderId="14" xfId="0" applyNumberFormat="1" applyFill="1" applyBorder="1"/>
    <xf numFmtId="2" fontId="0" fillId="0" borderId="0" xfId="0" applyNumberFormat="1"/>
    <xf numFmtId="164" fontId="0" fillId="9" borderId="5" xfId="0" applyNumberFormat="1" applyFill="1" applyBorder="1"/>
    <xf numFmtId="164" fontId="0" fillId="9" borderId="1" xfId="0" applyNumberFormat="1" applyFill="1" applyBorder="1"/>
    <xf numFmtId="164" fontId="0" fillId="9" borderId="3" xfId="0" applyNumberFormat="1" applyFill="1" applyBorder="1"/>
    <xf numFmtId="2" fontId="0" fillId="9" borderId="5" xfId="0" applyNumberFormat="1" applyFill="1" applyBorder="1"/>
    <xf numFmtId="2" fontId="0" fillId="9" borderId="1" xfId="0" applyNumberFormat="1" applyFill="1" applyBorder="1"/>
    <xf numFmtId="164" fontId="0" fillId="10" borderId="5" xfId="0" applyNumberFormat="1" applyFill="1" applyBorder="1"/>
    <xf numFmtId="164" fontId="0" fillId="10" borderId="1" xfId="0" applyNumberFormat="1" applyFill="1" applyBorder="1"/>
    <xf numFmtId="164" fontId="0" fillId="10" borderId="3" xfId="0" applyNumberFormat="1" applyFill="1" applyBorder="1"/>
    <xf numFmtId="2" fontId="0" fillId="10" borderId="5" xfId="0" applyNumberFormat="1" applyFill="1" applyBorder="1"/>
    <xf numFmtId="2" fontId="0" fillId="10" borderId="1" xfId="0" applyNumberFormat="1" applyFill="1" applyBorder="1"/>
    <xf numFmtId="2" fontId="0" fillId="10" borderId="3" xfId="0" applyNumberFormat="1" applyFill="1" applyBorder="1"/>
    <xf numFmtId="2" fontId="0" fillId="12" borderId="15" xfId="0" applyNumberFormat="1" applyFill="1" applyBorder="1"/>
    <xf numFmtId="2" fontId="0" fillId="12" borderId="10" xfId="0" applyNumberFormat="1" applyFill="1" applyBorder="1"/>
    <xf numFmtId="2" fontId="0" fillId="0" borderId="0" xfId="0" applyNumberFormat="1" applyAlignment="1">
      <alignment horizontal="right"/>
    </xf>
    <xf numFmtId="0" fontId="1" fillId="16" borderId="30" xfId="0" applyFont="1" applyFill="1" applyBorder="1"/>
    <xf numFmtId="0" fontId="1" fillId="14" borderId="30" xfId="0" applyFont="1" applyFill="1" applyBorder="1"/>
    <xf numFmtId="1" fontId="0" fillId="12" borderId="10" xfId="0" applyNumberFormat="1" applyFill="1" applyBorder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2" borderId="0" xfId="0" applyFill="1" applyAlignment="1">
      <alignment vertical="center"/>
    </xf>
    <xf numFmtId="0" fontId="1" fillId="13" borderId="0" xfId="0" applyFont="1" applyFill="1"/>
    <xf numFmtId="0" fontId="0" fillId="13" borderId="0" xfId="0" applyFill="1" applyAlignment="1">
      <alignment horizontal="left" vertical="center" indent="1"/>
    </xf>
    <xf numFmtId="2" fontId="0" fillId="12" borderId="31" xfId="0" applyNumberFormat="1" applyFill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1" fillId="17" borderId="15" xfId="0" applyFont="1" applyFill="1" applyBorder="1"/>
    <xf numFmtId="0" fontId="5" fillId="6" borderId="0" xfId="0" applyFont="1" applyFill="1"/>
    <xf numFmtId="0" fontId="0" fillId="6" borderId="0" xfId="0" applyFill="1" applyAlignment="1">
      <alignment horizontal="left" vertical="center" indent="1"/>
    </xf>
    <xf numFmtId="0" fontId="0" fillId="6" borderId="0" xfId="0" applyFill="1" applyAlignment="1">
      <alignment horizontal="left" vertical="center" indent="2"/>
    </xf>
    <xf numFmtId="0" fontId="1" fillId="10" borderId="11" xfId="0" applyFont="1" applyFill="1" applyBorder="1" applyAlignment="1">
      <alignment horizontal="center"/>
    </xf>
    <xf numFmtId="0" fontId="1" fillId="10" borderId="12" xfId="0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0" borderId="29" xfId="0" applyBorder="1"/>
    <xf numFmtId="0" fontId="0" fillId="0" borderId="9" xfId="0" applyBorder="1"/>
    <xf numFmtId="0" fontId="1" fillId="10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4" fillId="15" borderId="0" xfId="0" applyFont="1" applyFill="1"/>
    <xf numFmtId="0" fontId="1" fillId="7" borderId="1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0" xfId="0" applyAlignment="1">
      <alignment horizontal="center"/>
    </xf>
    <xf numFmtId="0" fontId="1" fillId="7" borderId="10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10" borderId="32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/>
    <xf numFmtId="0" fontId="6" fillId="0" borderId="0" xfId="0" applyFont="1"/>
    <xf numFmtId="17" fontId="6" fillId="0" borderId="0" xfId="0" applyNumberFormat="1" applyFont="1"/>
  </cellXfs>
  <cellStyles count="1">
    <cellStyle name="Normal" xfId="0" builtinId="0"/>
  </cellStyles>
  <dxfs count="4"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41"/>
  <sheetViews>
    <sheetView tabSelected="1" workbookViewId="0">
      <selection activeCell="F3" sqref="F3"/>
    </sheetView>
  </sheetViews>
  <sheetFormatPr defaultRowHeight="15" x14ac:dyDescent="0.25"/>
  <cols>
    <col min="1" max="1" width="10.85546875" customWidth="1"/>
    <col min="2" max="2" width="17" bestFit="1" customWidth="1"/>
    <col min="4" max="4" width="21.7109375" bestFit="1" customWidth="1"/>
    <col min="5" max="5" width="16.140625" customWidth="1"/>
    <col min="6" max="6" width="27.140625" customWidth="1"/>
    <col min="7" max="7" width="9.140625" customWidth="1"/>
    <col min="8" max="8" width="11.5703125" customWidth="1"/>
    <col min="9" max="9" width="17.7109375" customWidth="1"/>
    <col min="10" max="10" width="30.42578125" bestFit="1" customWidth="1"/>
    <col min="12" max="12" width="18.5703125" customWidth="1"/>
    <col min="13" max="13" width="11.5703125" customWidth="1"/>
    <col min="17" max="17" width="16.28515625" customWidth="1"/>
    <col min="19" max="19" width="12.7109375" customWidth="1"/>
    <col min="20" max="20" width="12.140625" customWidth="1"/>
    <col min="23" max="23" width="17.42578125" customWidth="1"/>
  </cols>
  <sheetData>
    <row r="1" spans="1:29" x14ac:dyDescent="0.25">
      <c r="A1" t="s">
        <v>71</v>
      </c>
      <c r="F1" t="s">
        <v>72</v>
      </c>
    </row>
    <row r="2" spans="1:29" x14ac:dyDescent="0.25">
      <c r="A2" s="1" t="s">
        <v>73</v>
      </c>
      <c r="B2" s="1" t="s">
        <v>43</v>
      </c>
      <c r="C2" s="1" t="s">
        <v>74</v>
      </c>
      <c r="D2" s="1" t="s">
        <v>75</v>
      </c>
      <c r="F2" s="1" t="s">
        <v>76</v>
      </c>
      <c r="I2" s="1" t="s">
        <v>77</v>
      </c>
      <c r="J2" s="1"/>
      <c r="L2" s="1" t="s">
        <v>78</v>
      </c>
      <c r="M2" s="1"/>
      <c r="N2" s="1"/>
      <c r="Q2" s="1" t="s">
        <v>79</v>
      </c>
      <c r="R2" s="1"/>
      <c r="S2" s="1"/>
    </row>
    <row r="3" spans="1:29" x14ac:dyDescent="0.25">
      <c r="A3" t="s">
        <v>32</v>
      </c>
      <c r="B3" t="s">
        <v>44</v>
      </c>
      <c r="C3" t="s">
        <v>53</v>
      </c>
      <c r="D3" t="s">
        <v>80</v>
      </c>
    </row>
    <row r="4" spans="1:29" x14ac:dyDescent="0.25">
      <c r="A4" t="s">
        <v>33</v>
      </c>
      <c r="B4" t="s">
        <v>46</v>
      </c>
      <c r="C4" t="s">
        <v>55</v>
      </c>
      <c r="D4" t="s">
        <v>61</v>
      </c>
    </row>
    <row r="5" spans="1:29" x14ac:dyDescent="0.25">
      <c r="A5" t="s">
        <v>34</v>
      </c>
      <c r="B5" t="s">
        <v>48</v>
      </c>
      <c r="C5" t="s">
        <v>56</v>
      </c>
      <c r="D5" t="s">
        <v>63</v>
      </c>
      <c r="F5" s="1" t="s">
        <v>81</v>
      </c>
      <c r="G5" s="1" t="s">
        <v>314</v>
      </c>
      <c r="I5" s="1" t="s">
        <v>81</v>
      </c>
      <c r="J5" s="1" t="s">
        <v>314</v>
      </c>
      <c r="L5" s="1" t="s">
        <v>81</v>
      </c>
      <c r="M5" s="1" t="s">
        <v>314</v>
      </c>
      <c r="Q5" s="1" t="s">
        <v>81</v>
      </c>
      <c r="R5" s="1" t="s">
        <v>314</v>
      </c>
    </row>
    <row r="6" spans="1:29" x14ac:dyDescent="0.25">
      <c r="A6" t="s">
        <v>35</v>
      </c>
      <c r="B6" t="s">
        <v>49</v>
      </c>
      <c r="F6" t="s">
        <v>82</v>
      </c>
      <c r="G6" t="s">
        <v>83</v>
      </c>
      <c r="I6" t="s">
        <v>13</v>
      </c>
      <c r="J6" t="s">
        <v>84</v>
      </c>
      <c r="L6" t="s">
        <v>23</v>
      </c>
      <c r="M6" t="s">
        <v>85</v>
      </c>
      <c r="Q6" t="s">
        <v>86</v>
      </c>
      <c r="R6" t="s">
        <v>87</v>
      </c>
      <c r="U6" s="142"/>
      <c r="V6" s="142"/>
      <c r="W6" s="142"/>
      <c r="X6" s="142"/>
      <c r="Y6" s="142"/>
      <c r="Z6" s="142"/>
      <c r="AA6" s="142"/>
      <c r="AB6" s="142"/>
      <c r="AC6" s="142"/>
    </row>
    <row r="7" spans="1:29" x14ac:dyDescent="0.25">
      <c r="A7" t="s">
        <v>36</v>
      </c>
      <c r="B7" t="s">
        <v>50</v>
      </c>
      <c r="F7" t="s">
        <v>88</v>
      </c>
      <c r="G7" t="s">
        <v>89</v>
      </c>
      <c r="I7" t="s">
        <v>14</v>
      </c>
      <c r="J7" t="s">
        <v>90</v>
      </c>
      <c r="L7" t="s">
        <v>91</v>
      </c>
      <c r="M7" t="s">
        <v>92</v>
      </c>
      <c r="Q7" t="s">
        <v>93</v>
      </c>
      <c r="R7" t="s">
        <v>94</v>
      </c>
      <c r="U7" s="142"/>
      <c r="V7" s="142"/>
      <c r="W7" s="142"/>
      <c r="X7" s="142"/>
      <c r="Y7" s="142"/>
      <c r="Z7" s="142"/>
      <c r="AA7" s="142"/>
      <c r="AB7" s="142"/>
      <c r="AC7" s="142"/>
    </row>
    <row r="8" spans="1:29" x14ac:dyDescent="0.25">
      <c r="A8" t="s">
        <v>38</v>
      </c>
      <c r="F8" t="s">
        <v>7</v>
      </c>
      <c r="G8" t="s">
        <v>95</v>
      </c>
      <c r="I8" t="s">
        <v>20</v>
      </c>
      <c r="J8" t="s">
        <v>96</v>
      </c>
      <c r="L8" t="s">
        <v>97</v>
      </c>
      <c r="M8" t="s">
        <v>87</v>
      </c>
      <c r="Q8" t="s">
        <v>98</v>
      </c>
      <c r="R8" t="s">
        <v>99</v>
      </c>
      <c r="U8" s="142"/>
      <c r="V8" s="142"/>
      <c r="W8" s="142"/>
      <c r="X8" s="142"/>
      <c r="Y8" s="142"/>
      <c r="Z8" s="142"/>
      <c r="AA8" s="142"/>
      <c r="AB8" s="142"/>
      <c r="AC8" s="142"/>
    </row>
    <row r="9" spans="1:29" x14ac:dyDescent="0.25">
      <c r="A9" t="s">
        <v>40</v>
      </c>
      <c r="F9" t="s">
        <v>100</v>
      </c>
      <c r="G9" t="s">
        <v>101</v>
      </c>
      <c r="I9" t="s">
        <v>21</v>
      </c>
      <c r="J9" t="s">
        <v>102</v>
      </c>
      <c r="L9" t="s">
        <v>103</v>
      </c>
      <c r="M9" t="s">
        <v>316</v>
      </c>
      <c r="Q9" t="s">
        <v>104</v>
      </c>
      <c r="R9" t="s">
        <v>105</v>
      </c>
    </row>
    <row r="10" spans="1:29" x14ac:dyDescent="0.25">
      <c r="A10" t="s">
        <v>41</v>
      </c>
      <c r="F10" t="s">
        <v>9</v>
      </c>
      <c r="G10" t="s">
        <v>106</v>
      </c>
      <c r="L10" t="s">
        <v>107</v>
      </c>
      <c r="M10" t="s">
        <v>108</v>
      </c>
    </row>
    <row r="11" spans="1:29" x14ac:dyDescent="0.25">
      <c r="F11" t="s">
        <v>109</v>
      </c>
      <c r="G11" t="s">
        <v>110</v>
      </c>
    </row>
    <row r="12" spans="1:29" x14ac:dyDescent="0.25">
      <c r="F12" t="s">
        <v>11</v>
      </c>
      <c r="G12" t="s">
        <v>111</v>
      </c>
      <c r="L12" t="s">
        <v>112</v>
      </c>
    </row>
    <row r="13" spans="1:29" x14ac:dyDescent="0.25">
      <c r="A13" s="143" t="s">
        <v>317</v>
      </c>
      <c r="F13" t="s">
        <v>113</v>
      </c>
      <c r="G13" t="s">
        <v>114</v>
      </c>
    </row>
    <row r="14" spans="1:29" x14ac:dyDescent="0.25">
      <c r="A14" s="143" t="s">
        <v>318</v>
      </c>
      <c r="B14" s="144">
        <v>46174</v>
      </c>
      <c r="L14" s="1" t="s">
        <v>115</v>
      </c>
      <c r="M14" s="1" t="s">
        <v>116</v>
      </c>
    </row>
    <row r="15" spans="1:29" x14ac:dyDescent="0.25">
      <c r="L15" t="s">
        <v>117</v>
      </c>
      <c r="M15" t="s">
        <v>118</v>
      </c>
    </row>
    <row r="16" spans="1:29" x14ac:dyDescent="0.25">
      <c r="F16" s="27" t="s">
        <v>119</v>
      </c>
      <c r="G16" s="27"/>
      <c r="H16" s="27"/>
      <c r="I16" s="27"/>
      <c r="L16" t="s">
        <v>120</v>
      </c>
      <c r="M16" t="s">
        <v>121</v>
      </c>
    </row>
    <row r="17" spans="1:13" x14ac:dyDescent="0.25">
      <c r="F17" s="27" t="s">
        <v>122</v>
      </c>
      <c r="G17" s="27"/>
      <c r="H17" s="27"/>
      <c r="I17" s="27"/>
      <c r="L17" t="s">
        <v>123</v>
      </c>
      <c r="M17" t="s">
        <v>124</v>
      </c>
    </row>
    <row r="18" spans="1:13" x14ac:dyDescent="0.25">
      <c r="F18" s="27" t="s">
        <v>125</v>
      </c>
      <c r="G18" s="27"/>
      <c r="H18" s="27"/>
      <c r="I18" s="27"/>
      <c r="L18" t="s">
        <v>126</v>
      </c>
      <c r="M18" t="s">
        <v>127</v>
      </c>
    </row>
    <row r="19" spans="1:13" x14ac:dyDescent="0.25">
      <c r="L19" t="s">
        <v>128</v>
      </c>
      <c r="M19" t="s">
        <v>129</v>
      </c>
    </row>
    <row r="20" spans="1:13" x14ac:dyDescent="0.25">
      <c r="A20" s="1" t="s">
        <v>185</v>
      </c>
    </row>
    <row r="21" spans="1:13" x14ac:dyDescent="0.25">
      <c r="A21" s="77" t="s">
        <v>186</v>
      </c>
      <c r="B21" t="s">
        <v>197</v>
      </c>
      <c r="E21" s="77" t="s">
        <v>195</v>
      </c>
      <c r="F21" t="s">
        <v>199</v>
      </c>
      <c r="I21" t="s">
        <v>234</v>
      </c>
    </row>
    <row r="22" spans="1:13" x14ac:dyDescent="0.25">
      <c r="A22" s="82" t="s">
        <v>187</v>
      </c>
      <c r="B22" s="82" t="s">
        <v>188</v>
      </c>
      <c r="C22" s="82" t="s">
        <v>191</v>
      </c>
      <c r="D22" s="82"/>
      <c r="E22" s="82" t="s">
        <v>187</v>
      </c>
      <c r="F22" s="82" t="s">
        <v>188</v>
      </c>
      <c r="G22" s="82" t="s">
        <v>191</v>
      </c>
    </row>
    <row r="23" spans="1:13" x14ac:dyDescent="0.25">
      <c r="A23" s="83" t="s">
        <v>137</v>
      </c>
      <c r="B23" s="83" t="s">
        <v>190</v>
      </c>
      <c r="C23" s="84">
        <v>0.33</v>
      </c>
      <c r="D23" s="83"/>
      <c r="E23" s="83" t="s">
        <v>23</v>
      </c>
      <c r="F23" s="83" t="s">
        <v>189</v>
      </c>
      <c r="G23" s="84">
        <v>0.2</v>
      </c>
      <c r="I23" t="s">
        <v>235</v>
      </c>
    </row>
    <row r="24" spans="1:13" x14ac:dyDescent="0.25">
      <c r="A24" s="83" t="s">
        <v>138</v>
      </c>
      <c r="B24" s="83" t="s">
        <v>189</v>
      </c>
      <c r="C24" s="84">
        <v>0.33</v>
      </c>
      <c r="D24" s="83"/>
      <c r="E24" s="83" t="s">
        <v>91</v>
      </c>
      <c r="F24" s="83" t="s">
        <v>190</v>
      </c>
      <c r="G24" s="84">
        <v>0.2</v>
      </c>
      <c r="I24" t="s">
        <v>236</v>
      </c>
    </row>
    <row r="25" spans="1:13" x14ac:dyDescent="0.25">
      <c r="A25" s="83" t="s">
        <v>139</v>
      </c>
      <c r="B25" s="83" t="s">
        <v>190</v>
      </c>
      <c r="C25" s="84">
        <v>0.33</v>
      </c>
      <c r="D25" s="83"/>
      <c r="E25" s="83" t="s">
        <v>97</v>
      </c>
      <c r="F25" s="83" t="s">
        <v>190</v>
      </c>
      <c r="G25" s="84">
        <v>0.2</v>
      </c>
      <c r="I25" t="s">
        <v>237</v>
      </c>
    </row>
    <row r="26" spans="1:13" x14ac:dyDescent="0.25">
      <c r="D26" s="83"/>
      <c r="E26" s="83" t="s">
        <v>103</v>
      </c>
      <c r="F26" s="83" t="s">
        <v>189</v>
      </c>
      <c r="G26" s="84">
        <v>0.2</v>
      </c>
    </row>
    <row r="27" spans="1:13" x14ac:dyDescent="0.25">
      <c r="E27" s="83" t="s">
        <v>31</v>
      </c>
      <c r="F27" s="83" t="s">
        <v>189</v>
      </c>
      <c r="G27" s="84">
        <v>0.2</v>
      </c>
      <c r="I27" t="s">
        <v>238</v>
      </c>
    </row>
    <row r="28" spans="1:13" x14ac:dyDescent="0.25">
      <c r="A28" s="85" t="s">
        <v>2</v>
      </c>
      <c r="B28" s="83" t="s">
        <v>198</v>
      </c>
    </row>
    <row r="29" spans="1:13" x14ac:dyDescent="0.25">
      <c r="A29" s="82" t="s">
        <v>187</v>
      </c>
      <c r="B29" s="82" t="s">
        <v>188</v>
      </c>
      <c r="C29" s="82" t="s">
        <v>191</v>
      </c>
      <c r="D29" s="82"/>
      <c r="E29" s="85" t="s">
        <v>196</v>
      </c>
      <c r="F29" s="77" t="s">
        <v>200</v>
      </c>
      <c r="I29" s="106" t="s">
        <v>239</v>
      </c>
    </row>
    <row r="30" spans="1:13" x14ac:dyDescent="0.25">
      <c r="A30" s="83" t="s">
        <v>14</v>
      </c>
      <c r="B30" s="83" t="s">
        <v>190</v>
      </c>
      <c r="C30" s="84">
        <v>0.5</v>
      </c>
      <c r="D30" s="83"/>
      <c r="E30" s="82" t="s">
        <v>187</v>
      </c>
      <c r="F30" s="82" t="s">
        <v>188</v>
      </c>
      <c r="G30" s="82" t="s">
        <v>191</v>
      </c>
      <c r="I30" s="106" t="s">
        <v>240</v>
      </c>
    </row>
    <row r="31" spans="1:13" x14ac:dyDescent="0.25">
      <c r="A31" s="83" t="s">
        <v>192</v>
      </c>
      <c r="B31" s="83" t="s">
        <v>193</v>
      </c>
      <c r="C31" s="84">
        <v>0.5</v>
      </c>
      <c r="D31" s="83"/>
      <c r="E31" s="83" t="s">
        <v>86</v>
      </c>
      <c r="F31" s="83" t="s">
        <v>190</v>
      </c>
      <c r="G31" s="84">
        <v>0.4</v>
      </c>
    </row>
    <row r="32" spans="1:13" x14ac:dyDescent="0.25">
      <c r="A32" s="83" t="s">
        <v>21</v>
      </c>
      <c r="B32" s="83" t="s">
        <v>194</v>
      </c>
      <c r="E32" s="83" t="s">
        <v>93</v>
      </c>
      <c r="F32" s="83" t="s">
        <v>189</v>
      </c>
      <c r="G32" s="84">
        <v>0.4</v>
      </c>
      <c r="I32" t="s">
        <v>241</v>
      </c>
    </row>
    <row r="33" spans="1:16" x14ac:dyDescent="0.25">
      <c r="E33" s="83" t="s">
        <v>184</v>
      </c>
      <c r="F33" s="83" t="s">
        <v>189</v>
      </c>
      <c r="G33" s="84">
        <v>0.2</v>
      </c>
      <c r="I33" t="s">
        <v>242</v>
      </c>
    </row>
    <row r="34" spans="1:16" x14ac:dyDescent="0.25">
      <c r="A34" s="108" t="s">
        <v>250</v>
      </c>
      <c r="B34" s="1"/>
      <c r="C34" s="1"/>
      <c r="D34" s="1"/>
      <c r="E34" s="1"/>
    </row>
    <row r="35" spans="1:16" x14ac:dyDescent="0.25">
      <c r="A35" s="1" t="s">
        <v>251</v>
      </c>
      <c r="B35" s="1"/>
      <c r="C35" s="1"/>
      <c r="D35" s="1"/>
      <c r="E35" s="1"/>
      <c r="I35" t="s">
        <v>238</v>
      </c>
    </row>
    <row r="36" spans="1:16" x14ac:dyDescent="0.25">
      <c r="A36" s="27" t="s">
        <v>220</v>
      </c>
      <c r="B36" s="27"/>
      <c r="C36" s="27"/>
      <c r="D36" s="27"/>
      <c r="E36" s="27"/>
      <c r="I36" s="106" t="s">
        <v>243</v>
      </c>
    </row>
    <row r="37" spans="1:16" x14ac:dyDescent="0.25">
      <c r="A37" s="27"/>
      <c r="B37" s="27"/>
      <c r="C37" s="27"/>
      <c r="D37" s="27"/>
      <c r="E37" s="27"/>
      <c r="I37" s="106" t="s">
        <v>244</v>
      </c>
    </row>
    <row r="38" spans="1:16" x14ac:dyDescent="0.25">
      <c r="A38" s="27" t="s">
        <v>221</v>
      </c>
      <c r="B38" s="27"/>
      <c r="C38" s="27"/>
      <c r="D38" s="27"/>
      <c r="E38" s="27"/>
    </row>
    <row r="39" spans="1:16" x14ac:dyDescent="0.25">
      <c r="A39" s="27" t="s">
        <v>222</v>
      </c>
      <c r="B39" s="27"/>
      <c r="C39" s="27"/>
      <c r="D39" s="27"/>
      <c r="E39" s="27"/>
      <c r="I39" t="s">
        <v>245</v>
      </c>
    </row>
    <row r="40" spans="1:16" x14ac:dyDescent="0.25">
      <c r="A40" s="27"/>
      <c r="B40" s="27"/>
      <c r="C40" s="27"/>
      <c r="D40" s="27"/>
      <c r="E40" s="27"/>
      <c r="I40" s="106"/>
    </row>
    <row r="41" spans="1:16" x14ac:dyDescent="0.25">
      <c r="A41" s="27" t="s">
        <v>223</v>
      </c>
      <c r="B41" s="27"/>
      <c r="C41" s="27"/>
      <c r="D41" s="27"/>
      <c r="E41" s="27"/>
      <c r="I41" t="s">
        <v>246</v>
      </c>
    </row>
    <row r="42" spans="1:16" x14ac:dyDescent="0.25">
      <c r="A42" s="27" t="s">
        <v>224</v>
      </c>
      <c r="B42" s="27"/>
      <c r="C42" s="27"/>
      <c r="D42" s="27"/>
      <c r="E42" s="27"/>
      <c r="I42" s="106" t="s">
        <v>248</v>
      </c>
      <c r="J42" s="106"/>
      <c r="K42" s="106"/>
      <c r="L42" s="106"/>
      <c r="M42" s="106"/>
      <c r="N42" s="106"/>
    </row>
    <row r="43" spans="1:16" x14ac:dyDescent="0.25">
      <c r="A43" s="27"/>
      <c r="B43" s="27"/>
      <c r="C43" s="27"/>
      <c r="D43" s="27"/>
      <c r="E43" s="27"/>
    </row>
    <row r="44" spans="1:16" x14ac:dyDescent="0.25">
      <c r="A44" s="27" t="s">
        <v>225</v>
      </c>
      <c r="B44" s="27"/>
      <c r="C44" s="27"/>
      <c r="D44" s="27"/>
      <c r="E44" s="27"/>
      <c r="I44" t="s">
        <v>247</v>
      </c>
    </row>
    <row r="45" spans="1:16" x14ac:dyDescent="0.25">
      <c r="A45" s="27" t="s">
        <v>226</v>
      </c>
      <c r="B45" s="27"/>
      <c r="C45" s="27"/>
      <c r="D45" s="27"/>
      <c r="E45" s="27"/>
      <c r="I45" t="s">
        <v>249</v>
      </c>
    </row>
    <row r="46" spans="1:16" x14ac:dyDescent="0.25">
      <c r="A46" s="27"/>
      <c r="B46" s="27"/>
      <c r="C46" s="27"/>
      <c r="D46" s="27"/>
      <c r="E46" s="27"/>
    </row>
    <row r="47" spans="1:16" x14ac:dyDescent="0.25">
      <c r="A47" s="27" t="s">
        <v>227</v>
      </c>
      <c r="B47" s="27"/>
      <c r="C47" s="27"/>
      <c r="D47" s="27"/>
      <c r="E47" s="27"/>
    </row>
    <row r="48" spans="1:16" x14ac:dyDescent="0.25">
      <c r="A48" s="27" t="s">
        <v>228</v>
      </c>
      <c r="B48" s="27"/>
      <c r="C48" s="27"/>
      <c r="D48" s="27"/>
      <c r="E48" s="27"/>
      <c r="I48" s="109" t="s">
        <v>258</v>
      </c>
      <c r="J48" s="77"/>
      <c r="K48" s="77"/>
      <c r="L48" s="77"/>
      <c r="M48" s="77"/>
      <c r="N48" s="77"/>
      <c r="O48" s="77"/>
      <c r="P48" s="77"/>
    </row>
    <row r="49" spans="1:16" x14ac:dyDescent="0.25">
      <c r="A49" s="27"/>
      <c r="B49" s="27"/>
      <c r="C49" s="27"/>
      <c r="D49" s="27"/>
      <c r="E49" s="27"/>
      <c r="I49" s="110"/>
      <c r="J49" s="77"/>
      <c r="K49" s="77"/>
      <c r="L49" s="77"/>
      <c r="M49" s="77"/>
      <c r="N49" s="77"/>
      <c r="O49" s="77"/>
      <c r="P49" s="77"/>
    </row>
    <row r="50" spans="1:16" x14ac:dyDescent="0.25">
      <c r="A50" s="27" t="s">
        <v>229</v>
      </c>
      <c r="B50" s="27"/>
      <c r="C50" s="27"/>
      <c r="D50" s="27"/>
      <c r="E50" s="27"/>
      <c r="I50" s="110" t="s">
        <v>259</v>
      </c>
      <c r="J50" s="77"/>
      <c r="K50" s="77"/>
      <c r="L50" s="77"/>
      <c r="M50" s="77"/>
      <c r="N50" s="77"/>
      <c r="O50" s="77"/>
      <c r="P50" s="77"/>
    </row>
    <row r="51" spans="1:16" x14ac:dyDescent="0.25">
      <c r="A51" s="27" t="s">
        <v>230</v>
      </c>
      <c r="B51" s="27"/>
      <c r="C51" s="27"/>
      <c r="D51" s="27"/>
      <c r="E51" s="27"/>
      <c r="I51" s="110" t="s">
        <v>260</v>
      </c>
      <c r="J51" s="77"/>
      <c r="K51" s="77"/>
      <c r="L51" s="77"/>
      <c r="M51" s="77"/>
      <c r="N51" s="77"/>
      <c r="O51" s="77"/>
      <c r="P51" s="77"/>
    </row>
    <row r="52" spans="1:16" x14ac:dyDescent="0.25">
      <c r="A52" s="27" t="s">
        <v>231</v>
      </c>
      <c r="B52" s="27"/>
      <c r="C52" s="27"/>
      <c r="D52" s="27"/>
      <c r="E52" s="27"/>
      <c r="I52" s="110" t="s">
        <v>261</v>
      </c>
      <c r="J52" s="77"/>
      <c r="K52" s="77"/>
      <c r="L52" s="77"/>
      <c r="M52" s="77"/>
      <c r="N52" s="77"/>
      <c r="O52" s="77"/>
      <c r="P52" s="77"/>
    </row>
    <row r="53" spans="1:16" x14ac:dyDescent="0.25">
      <c r="A53" s="27" t="s">
        <v>232</v>
      </c>
      <c r="B53" s="27"/>
      <c r="C53" s="27"/>
      <c r="D53" s="27"/>
      <c r="E53" s="27"/>
      <c r="I53" s="110" t="s">
        <v>262</v>
      </c>
      <c r="J53" s="77"/>
      <c r="K53" s="77"/>
      <c r="L53" s="77"/>
      <c r="M53" s="77"/>
      <c r="N53" s="77"/>
      <c r="O53" s="77"/>
      <c r="P53" s="77"/>
    </row>
    <row r="54" spans="1:16" x14ac:dyDescent="0.25">
      <c r="A54" s="27" t="s">
        <v>233</v>
      </c>
      <c r="B54" s="27"/>
      <c r="C54" s="27"/>
      <c r="D54" s="27"/>
      <c r="E54" s="27"/>
      <c r="I54" s="110" t="s">
        <v>315</v>
      </c>
      <c r="J54" s="77"/>
      <c r="K54" s="77"/>
      <c r="L54" s="77"/>
      <c r="M54" s="77"/>
      <c r="N54" s="77"/>
      <c r="O54" s="77"/>
      <c r="P54" s="77"/>
    </row>
    <row r="55" spans="1:16" x14ac:dyDescent="0.25">
      <c r="A55" s="1" t="s">
        <v>252</v>
      </c>
      <c r="B55" s="1"/>
      <c r="C55" s="1"/>
      <c r="D55" s="1"/>
      <c r="E55" s="1"/>
    </row>
    <row r="56" spans="1:16" x14ac:dyDescent="0.25">
      <c r="A56" s="1" t="s">
        <v>253</v>
      </c>
      <c r="B56" s="1"/>
      <c r="C56" s="1"/>
      <c r="D56" s="1"/>
      <c r="E56" s="1"/>
    </row>
    <row r="58" spans="1:16" x14ac:dyDescent="0.25">
      <c r="A58" s="1" t="s">
        <v>254</v>
      </c>
      <c r="B58" s="1"/>
      <c r="C58" s="1"/>
      <c r="D58" s="1"/>
      <c r="E58" s="1"/>
      <c r="F58" s="1"/>
    </row>
    <row r="59" spans="1:16" x14ac:dyDescent="0.25">
      <c r="A59" s="1" t="s">
        <v>255</v>
      </c>
      <c r="B59" s="1"/>
      <c r="C59" s="1"/>
      <c r="D59" s="1"/>
      <c r="E59" s="1"/>
      <c r="F59" s="1"/>
    </row>
    <row r="61" spans="1:16" x14ac:dyDescent="0.25">
      <c r="A61" s="1" t="s">
        <v>256</v>
      </c>
      <c r="B61" s="1"/>
      <c r="C61" s="1"/>
      <c r="D61" s="1"/>
      <c r="E61" s="1"/>
    </row>
    <row r="62" spans="1:16" x14ac:dyDescent="0.25">
      <c r="A62" s="1" t="s">
        <v>257</v>
      </c>
      <c r="B62" s="1"/>
      <c r="C62" s="1"/>
      <c r="D62" s="1"/>
      <c r="E62" s="1"/>
    </row>
    <row r="63" spans="1:16" x14ac:dyDescent="0.25">
      <c r="G63" s="106"/>
    </row>
    <row r="64" spans="1:16" x14ac:dyDescent="0.25">
      <c r="A64" s="27" t="s">
        <v>289</v>
      </c>
      <c r="B64" s="27"/>
      <c r="C64" s="27"/>
      <c r="D64" s="27"/>
      <c r="E64" s="27"/>
      <c r="F64" s="27"/>
      <c r="G64" s="27"/>
      <c r="H64" s="27"/>
    </row>
    <row r="65" spans="1:8" x14ac:dyDescent="0.25">
      <c r="A65" s="27"/>
      <c r="B65" s="27"/>
      <c r="C65" s="27"/>
      <c r="D65" s="27"/>
      <c r="E65" s="27"/>
      <c r="F65" s="27"/>
      <c r="G65" s="120"/>
      <c r="H65" s="27"/>
    </row>
    <row r="66" spans="1:8" x14ac:dyDescent="0.25">
      <c r="A66" s="27" t="s">
        <v>313</v>
      </c>
      <c r="B66" s="27"/>
      <c r="C66" s="27"/>
      <c r="D66" s="27"/>
      <c r="E66" s="27"/>
      <c r="F66" s="27"/>
      <c r="G66" s="27"/>
      <c r="H66" s="27"/>
    </row>
    <row r="67" spans="1:8" x14ac:dyDescent="0.25">
      <c r="A67" s="27"/>
      <c r="B67" s="27"/>
      <c r="C67" s="27"/>
      <c r="D67" s="27"/>
      <c r="E67" s="27"/>
      <c r="F67" s="27"/>
      <c r="G67" s="120"/>
      <c r="H67" s="27"/>
    </row>
    <row r="68" spans="1:8" x14ac:dyDescent="0.25">
      <c r="A68" s="27" t="s">
        <v>290</v>
      </c>
      <c r="B68" s="27"/>
      <c r="C68" s="27"/>
      <c r="D68" s="27"/>
      <c r="E68" s="27"/>
      <c r="F68" s="27"/>
      <c r="G68" s="27"/>
      <c r="H68" s="27"/>
    </row>
    <row r="69" spans="1:8" x14ac:dyDescent="0.25">
      <c r="A69" s="27"/>
      <c r="B69" s="27"/>
      <c r="C69" s="27"/>
      <c r="D69" s="27"/>
      <c r="E69" s="27"/>
      <c r="F69" s="27"/>
      <c r="G69" s="120"/>
      <c r="H69" s="27"/>
    </row>
    <row r="70" spans="1:8" x14ac:dyDescent="0.25">
      <c r="A70" s="27" t="s">
        <v>291</v>
      </c>
      <c r="B70" s="27"/>
      <c r="C70" s="27"/>
      <c r="D70" s="27"/>
      <c r="E70" s="27"/>
      <c r="F70" s="27"/>
      <c r="G70" s="27"/>
      <c r="H70" s="27"/>
    </row>
    <row r="71" spans="1:8" x14ac:dyDescent="0.25">
      <c r="A71" s="27"/>
      <c r="B71" s="27"/>
      <c r="C71" s="27"/>
      <c r="D71" s="27"/>
      <c r="E71" s="27"/>
      <c r="F71" s="27"/>
      <c r="G71" s="120"/>
      <c r="H71" s="27"/>
    </row>
    <row r="72" spans="1:8" x14ac:dyDescent="0.25">
      <c r="A72" s="27" t="s">
        <v>292</v>
      </c>
      <c r="B72" s="27"/>
      <c r="C72" s="27"/>
      <c r="D72" s="27"/>
      <c r="E72" s="27"/>
      <c r="F72" s="27"/>
      <c r="G72" s="27"/>
      <c r="H72" s="27"/>
    </row>
    <row r="73" spans="1:8" x14ac:dyDescent="0.25">
      <c r="A73" s="27" t="s">
        <v>293</v>
      </c>
      <c r="B73" s="27"/>
      <c r="C73" s="27"/>
      <c r="D73" s="27"/>
      <c r="E73" s="27"/>
      <c r="F73" s="27"/>
      <c r="G73" s="27"/>
      <c r="H73" s="27"/>
    </row>
    <row r="74" spans="1:8" x14ac:dyDescent="0.25">
      <c r="A74" s="27"/>
      <c r="B74" s="27"/>
      <c r="C74" s="27"/>
      <c r="D74" s="27"/>
      <c r="E74" s="27"/>
      <c r="F74" s="27"/>
      <c r="G74" s="27"/>
      <c r="H74" s="27"/>
    </row>
    <row r="75" spans="1:8" x14ac:dyDescent="0.25">
      <c r="A75" s="27" t="s">
        <v>294</v>
      </c>
      <c r="B75" s="27"/>
      <c r="C75" s="27"/>
      <c r="D75" s="27"/>
      <c r="E75" s="27"/>
      <c r="F75" s="27"/>
      <c r="G75" s="27"/>
      <c r="H75" s="27"/>
    </row>
    <row r="76" spans="1:8" x14ac:dyDescent="0.25">
      <c r="A76" s="120"/>
      <c r="B76" s="27"/>
      <c r="C76" s="27"/>
      <c r="D76" s="27"/>
      <c r="E76" s="27"/>
      <c r="F76" s="27"/>
      <c r="G76" s="120"/>
      <c r="H76" s="27"/>
    </row>
    <row r="77" spans="1:8" x14ac:dyDescent="0.25">
      <c r="A77" s="120" t="s">
        <v>295</v>
      </c>
      <c r="B77" s="27"/>
      <c r="C77" s="27"/>
      <c r="D77" s="27"/>
      <c r="E77" s="27"/>
      <c r="F77" s="27"/>
      <c r="G77" s="120"/>
      <c r="H77" s="27"/>
    </row>
    <row r="78" spans="1:8" x14ac:dyDescent="0.25">
      <c r="A78" s="120" t="s">
        <v>296</v>
      </c>
      <c r="B78" s="27"/>
      <c r="C78" s="27"/>
      <c r="D78" s="27"/>
      <c r="E78" s="27"/>
      <c r="F78" s="27"/>
      <c r="G78" s="120"/>
      <c r="H78" s="27"/>
    </row>
    <row r="79" spans="1:8" x14ac:dyDescent="0.25">
      <c r="A79" s="120" t="s">
        <v>297</v>
      </c>
      <c r="B79" s="27"/>
      <c r="C79" s="27"/>
      <c r="D79" s="27"/>
      <c r="E79" s="27"/>
      <c r="F79" s="27"/>
      <c r="G79" s="120"/>
      <c r="H79" s="27"/>
    </row>
    <row r="80" spans="1:8" x14ac:dyDescent="0.25">
      <c r="A80" s="27"/>
      <c r="B80" s="27"/>
      <c r="C80" s="27"/>
      <c r="D80" s="27"/>
      <c r="E80" s="27"/>
      <c r="F80" s="27"/>
      <c r="G80" s="120"/>
      <c r="H80" s="27"/>
    </row>
    <row r="81" spans="1:8" x14ac:dyDescent="0.25">
      <c r="A81" s="27" t="s">
        <v>298</v>
      </c>
      <c r="B81" s="27"/>
      <c r="C81" s="27"/>
      <c r="D81" s="27"/>
      <c r="E81" s="27"/>
      <c r="F81" s="27"/>
      <c r="G81" s="120"/>
      <c r="H81" s="27"/>
    </row>
    <row r="82" spans="1:8" x14ac:dyDescent="0.25">
      <c r="A82" s="27"/>
      <c r="B82" s="27"/>
      <c r="C82" s="27"/>
      <c r="D82" s="27"/>
      <c r="E82" s="27"/>
      <c r="F82" s="27"/>
      <c r="G82" s="120"/>
      <c r="H82" s="27"/>
    </row>
    <row r="83" spans="1:8" x14ac:dyDescent="0.25">
      <c r="A83" s="27" t="s">
        <v>299</v>
      </c>
      <c r="B83" s="27"/>
      <c r="C83" s="27"/>
      <c r="D83" s="27"/>
      <c r="E83" s="27"/>
      <c r="F83" s="27"/>
      <c r="G83" s="120"/>
      <c r="H83" s="27"/>
    </row>
    <row r="84" spans="1:8" x14ac:dyDescent="0.25">
      <c r="A84" s="120"/>
      <c r="B84" s="27"/>
      <c r="C84" s="27"/>
      <c r="D84" s="27"/>
      <c r="E84" s="27"/>
      <c r="F84" s="27"/>
      <c r="G84" s="120"/>
      <c r="H84" s="27"/>
    </row>
    <row r="85" spans="1:8" x14ac:dyDescent="0.25">
      <c r="A85" s="120" t="s">
        <v>300</v>
      </c>
      <c r="B85" s="27"/>
      <c r="C85" s="27"/>
      <c r="D85" s="27"/>
      <c r="E85" s="27"/>
      <c r="F85" s="27"/>
      <c r="G85" s="120"/>
      <c r="H85" s="27"/>
    </row>
    <row r="86" spans="1:8" x14ac:dyDescent="0.25">
      <c r="A86" s="120" t="s">
        <v>301</v>
      </c>
      <c r="B86" s="27"/>
      <c r="C86" s="27"/>
      <c r="D86" s="27"/>
      <c r="E86" s="27"/>
      <c r="F86" s="27"/>
      <c r="G86" s="120"/>
      <c r="H86" s="27"/>
    </row>
    <row r="87" spans="1:8" x14ac:dyDescent="0.25">
      <c r="A87" s="27"/>
      <c r="B87" s="27"/>
      <c r="C87" s="27"/>
      <c r="D87" s="27"/>
      <c r="E87" s="27"/>
      <c r="F87" s="27"/>
      <c r="G87" s="120"/>
      <c r="H87" s="27"/>
    </row>
    <row r="88" spans="1:8" x14ac:dyDescent="0.25">
      <c r="A88" s="27" t="s">
        <v>302</v>
      </c>
      <c r="B88" s="27"/>
      <c r="C88" s="27"/>
      <c r="D88" s="27"/>
      <c r="E88" s="27"/>
      <c r="F88" s="27"/>
      <c r="G88" s="27"/>
      <c r="H88" s="27"/>
    </row>
    <row r="89" spans="1:8" x14ac:dyDescent="0.25">
      <c r="A89" s="120"/>
      <c r="B89" s="27"/>
      <c r="C89" s="27"/>
      <c r="D89" s="27"/>
      <c r="E89" s="27"/>
      <c r="F89" s="27"/>
      <c r="G89" s="27"/>
      <c r="H89" s="27"/>
    </row>
    <row r="90" spans="1:8" x14ac:dyDescent="0.25">
      <c r="A90" s="120" t="s">
        <v>300</v>
      </c>
      <c r="B90" s="27"/>
      <c r="C90" s="27"/>
      <c r="D90" s="27"/>
      <c r="E90" s="27"/>
      <c r="F90" s="27"/>
      <c r="G90" s="120"/>
      <c r="H90" s="27"/>
    </row>
    <row r="91" spans="1:8" x14ac:dyDescent="0.25">
      <c r="A91" s="120" t="s">
        <v>303</v>
      </c>
      <c r="B91" s="27"/>
      <c r="C91" s="27"/>
      <c r="D91" s="27"/>
      <c r="E91" s="27"/>
      <c r="F91" s="27"/>
      <c r="G91" s="120"/>
      <c r="H91" s="27"/>
    </row>
    <row r="92" spans="1:8" x14ac:dyDescent="0.25">
      <c r="A92" s="27"/>
      <c r="B92" s="27"/>
      <c r="C92" s="27"/>
      <c r="D92" s="27"/>
      <c r="E92" s="27"/>
      <c r="F92" s="27"/>
      <c r="G92" s="121"/>
      <c r="H92" s="27"/>
    </row>
    <row r="93" spans="1:8" x14ac:dyDescent="0.25">
      <c r="A93" s="27" t="s">
        <v>304</v>
      </c>
      <c r="B93" s="27"/>
      <c r="C93" s="27"/>
      <c r="D93" s="27"/>
      <c r="E93" s="27"/>
      <c r="F93" s="27"/>
      <c r="G93" s="121"/>
      <c r="H93" s="27"/>
    </row>
    <row r="94" spans="1:8" x14ac:dyDescent="0.25">
      <c r="A94" s="120"/>
      <c r="B94" s="27"/>
      <c r="C94" s="27"/>
      <c r="D94" s="27"/>
      <c r="E94" s="27"/>
      <c r="F94" s="27"/>
      <c r="G94" s="120"/>
      <c r="H94" s="27"/>
    </row>
    <row r="95" spans="1:8" x14ac:dyDescent="0.25">
      <c r="A95" s="120" t="s">
        <v>305</v>
      </c>
      <c r="B95" s="27"/>
      <c r="C95" s="27"/>
      <c r="D95" s="27"/>
      <c r="E95" s="27"/>
      <c r="F95" s="27"/>
      <c r="G95" s="121"/>
      <c r="H95" s="27"/>
    </row>
    <row r="96" spans="1:8" x14ac:dyDescent="0.25">
      <c r="A96" s="120" t="s">
        <v>301</v>
      </c>
      <c r="B96" s="27"/>
      <c r="C96" s="27"/>
      <c r="D96" s="27"/>
      <c r="E96" s="27"/>
      <c r="F96" s="27"/>
      <c r="G96" s="121"/>
      <c r="H96" s="27"/>
    </row>
    <row r="97" spans="1:8" x14ac:dyDescent="0.25">
      <c r="A97" s="27"/>
      <c r="B97" s="27"/>
      <c r="C97" s="27"/>
      <c r="D97" s="27"/>
      <c r="E97" s="27"/>
      <c r="F97" s="27"/>
      <c r="G97" s="120"/>
      <c r="H97" s="27"/>
    </row>
    <row r="98" spans="1:8" x14ac:dyDescent="0.25">
      <c r="A98" s="27" t="s">
        <v>306</v>
      </c>
      <c r="B98" s="27"/>
      <c r="C98" s="27"/>
      <c r="D98" s="27"/>
      <c r="E98" s="27"/>
      <c r="F98" s="27"/>
      <c r="G98" s="121"/>
      <c r="H98" s="27"/>
    </row>
    <row r="99" spans="1:8" x14ac:dyDescent="0.25">
      <c r="A99" s="120"/>
      <c r="B99" s="27"/>
      <c r="C99" s="27"/>
      <c r="D99" s="27"/>
      <c r="E99" s="27"/>
      <c r="F99" s="27"/>
      <c r="G99" s="121"/>
      <c r="H99" s="27"/>
    </row>
    <row r="100" spans="1:8" x14ac:dyDescent="0.25">
      <c r="A100" s="120" t="s">
        <v>305</v>
      </c>
      <c r="B100" s="27"/>
      <c r="C100" s="27"/>
      <c r="D100" s="27"/>
      <c r="E100" s="27"/>
      <c r="F100" s="27"/>
      <c r="G100" s="121"/>
      <c r="H100" s="27"/>
    </row>
    <row r="101" spans="1:8" x14ac:dyDescent="0.25">
      <c r="A101" s="120" t="s">
        <v>303</v>
      </c>
      <c r="B101" s="27"/>
      <c r="C101" s="27"/>
      <c r="D101" s="27"/>
      <c r="E101" s="27"/>
      <c r="F101" s="27"/>
      <c r="G101" s="121"/>
      <c r="H101" s="27"/>
    </row>
    <row r="102" spans="1:8" x14ac:dyDescent="0.25">
      <c r="A102" s="27"/>
      <c r="B102" s="27"/>
      <c r="C102" s="27"/>
      <c r="D102" s="27"/>
      <c r="E102" s="27"/>
      <c r="F102" s="27"/>
      <c r="G102" s="121"/>
      <c r="H102" s="27"/>
    </row>
    <row r="103" spans="1:8" x14ac:dyDescent="0.25">
      <c r="A103" s="27" t="s">
        <v>307</v>
      </c>
      <c r="B103" s="27"/>
      <c r="C103" s="27"/>
      <c r="D103" s="27"/>
      <c r="E103" s="27"/>
      <c r="F103" s="27"/>
      <c r="G103" s="121"/>
      <c r="H103" s="27"/>
    </row>
    <row r="104" spans="1:8" x14ac:dyDescent="0.25">
      <c r="A104" s="120"/>
      <c r="B104" s="27"/>
      <c r="C104" s="27"/>
      <c r="D104" s="27"/>
      <c r="E104" s="27"/>
      <c r="F104" s="27"/>
      <c r="G104" s="121"/>
      <c r="H104" s="27"/>
    </row>
    <row r="105" spans="1:8" x14ac:dyDescent="0.25">
      <c r="A105" s="120" t="s">
        <v>308</v>
      </c>
      <c r="B105" s="27"/>
      <c r="C105" s="27"/>
      <c r="D105" s="27"/>
      <c r="E105" s="27"/>
      <c r="F105" s="27"/>
      <c r="G105" s="121"/>
      <c r="H105" s="27"/>
    </row>
    <row r="106" spans="1:8" x14ac:dyDescent="0.25">
      <c r="A106" s="120" t="s">
        <v>309</v>
      </c>
      <c r="B106" s="27"/>
      <c r="C106" s="27"/>
      <c r="D106" s="27"/>
      <c r="E106" s="27"/>
      <c r="F106" s="27"/>
      <c r="G106" s="121"/>
      <c r="H106" s="27"/>
    </row>
    <row r="107" spans="1:8" x14ac:dyDescent="0.25">
      <c r="A107" s="120" t="s">
        <v>310</v>
      </c>
      <c r="B107" s="27"/>
      <c r="C107" s="27"/>
      <c r="D107" s="27"/>
      <c r="E107" s="27"/>
      <c r="F107" s="27"/>
      <c r="G107" s="121"/>
      <c r="H107" s="27"/>
    </row>
    <row r="108" spans="1:8" x14ac:dyDescent="0.25">
      <c r="A108" s="120" t="s">
        <v>311</v>
      </c>
      <c r="B108" s="27"/>
      <c r="C108" s="27"/>
      <c r="D108" s="27"/>
      <c r="E108" s="27"/>
      <c r="F108" s="27"/>
      <c r="G108" s="120"/>
      <c r="H108" s="27"/>
    </row>
    <row r="109" spans="1:8" x14ac:dyDescent="0.25">
      <c r="A109" s="120" t="s">
        <v>312</v>
      </c>
      <c r="B109" s="27"/>
      <c r="C109" s="27"/>
      <c r="D109" s="27"/>
      <c r="E109" s="27"/>
      <c r="F109" s="27"/>
      <c r="G109" s="27"/>
      <c r="H109" s="27"/>
    </row>
    <row r="110" spans="1:8" x14ac:dyDescent="0.25">
      <c r="G110" s="106"/>
    </row>
    <row r="111" spans="1:8" x14ac:dyDescent="0.25">
      <c r="G111" s="106"/>
    </row>
    <row r="112" spans="1:8" x14ac:dyDescent="0.25">
      <c r="G112" s="107"/>
    </row>
    <row r="122" spans="7:7" x14ac:dyDescent="0.25">
      <c r="G122" s="106"/>
    </row>
    <row r="123" spans="7:7" x14ac:dyDescent="0.25">
      <c r="G123" s="106"/>
    </row>
    <row r="124" spans="7:7" x14ac:dyDescent="0.25">
      <c r="G124" s="106"/>
    </row>
    <row r="125" spans="7:7" x14ac:dyDescent="0.25">
      <c r="G125" s="106"/>
    </row>
    <row r="126" spans="7:7" x14ac:dyDescent="0.25">
      <c r="G126" s="107"/>
    </row>
    <row r="127" spans="7:7" x14ac:dyDescent="0.25">
      <c r="G127" s="107"/>
    </row>
    <row r="128" spans="7:7" x14ac:dyDescent="0.25">
      <c r="G128" s="107"/>
    </row>
    <row r="129" spans="7:7" x14ac:dyDescent="0.25">
      <c r="G129" s="107"/>
    </row>
    <row r="130" spans="7:7" x14ac:dyDescent="0.25">
      <c r="G130" s="107"/>
    </row>
    <row r="131" spans="7:7" x14ac:dyDescent="0.25">
      <c r="G131" s="107"/>
    </row>
    <row r="134" spans="7:7" x14ac:dyDescent="0.25">
      <c r="G134" s="106"/>
    </row>
    <row r="135" spans="7:7" x14ac:dyDescent="0.25">
      <c r="G135" s="106"/>
    </row>
    <row r="136" spans="7:7" x14ac:dyDescent="0.25">
      <c r="G136" s="106"/>
    </row>
    <row r="137" spans="7:7" x14ac:dyDescent="0.25">
      <c r="G137" s="106"/>
    </row>
    <row r="138" spans="7:7" x14ac:dyDescent="0.25">
      <c r="G138" s="106"/>
    </row>
    <row r="139" spans="7:7" x14ac:dyDescent="0.25">
      <c r="G139" s="106"/>
    </row>
    <row r="140" spans="7:7" x14ac:dyDescent="0.25">
      <c r="G140" s="106"/>
    </row>
    <row r="141" spans="7:7" x14ac:dyDescent="0.25">
      <c r="G141" s="10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29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5" x14ac:dyDescent="0.25"/>
  <cols>
    <col min="1" max="1" width="21.7109375" customWidth="1"/>
    <col min="2" max="2" width="15.42578125" customWidth="1"/>
    <col min="3" max="3" width="14.42578125" bestFit="1" customWidth="1"/>
    <col min="4" max="4" width="11.42578125" bestFit="1" customWidth="1"/>
    <col min="5" max="5" width="15.28515625" bestFit="1" customWidth="1"/>
    <col min="6" max="6" width="14.42578125" bestFit="1" customWidth="1"/>
    <col min="7" max="7" width="25.140625" bestFit="1" customWidth="1"/>
    <col min="8" max="8" width="17.85546875" bestFit="1" customWidth="1"/>
    <col min="9" max="9" width="14.85546875" bestFit="1" customWidth="1"/>
    <col min="10" max="10" width="10.5703125" bestFit="1" customWidth="1"/>
    <col min="12" max="12" width="13.5703125" bestFit="1" customWidth="1"/>
    <col min="13" max="13" width="17.85546875" bestFit="1" customWidth="1"/>
    <col min="16" max="16" width="19.140625" bestFit="1" customWidth="1"/>
    <col min="17" max="17" width="14.7109375" bestFit="1" customWidth="1"/>
    <col min="18" max="18" width="18.140625" bestFit="1" customWidth="1"/>
    <col min="19" max="19" width="16.85546875" bestFit="1" customWidth="1"/>
    <col min="20" max="20" width="13.7109375" bestFit="1" customWidth="1"/>
    <col min="21" max="21" width="19.85546875" bestFit="1" customWidth="1"/>
    <col min="22" max="22" width="15.5703125" bestFit="1" customWidth="1"/>
    <col min="25" max="25" width="19.5703125" bestFit="1" customWidth="1"/>
    <col min="27" max="27" width="21" customWidth="1"/>
    <col min="28" max="28" width="16" bestFit="1" customWidth="1"/>
    <col min="29" max="29" width="10.140625" bestFit="1" customWidth="1"/>
    <col min="30" max="30" width="11.5703125" bestFit="1" customWidth="1"/>
    <col min="31" max="31" width="12.28515625" bestFit="1" customWidth="1"/>
    <col min="37" max="37" width="11.7109375" bestFit="1" customWidth="1"/>
    <col min="38" max="38" width="23.140625" bestFit="1" customWidth="1"/>
    <col min="39" max="39" width="11" bestFit="1" customWidth="1"/>
    <col min="41" max="41" width="12" customWidth="1"/>
    <col min="42" max="42" width="15" customWidth="1"/>
    <col min="45" max="45" width="14.42578125" bestFit="1" customWidth="1"/>
    <col min="46" max="46" width="14.140625" customWidth="1"/>
    <col min="50" max="50" width="13.5703125" bestFit="1" customWidth="1"/>
    <col min="51" max="51" width="13.42578125" bestFit="1" customWidth="1"/>
    <col min="52" max="52" width="18.42578125" customWidth="1"/>
  </cols>
  <sheetData>
    <row r="1" spans="1:52" x14ac:dyDescent="0.25">
      <c r="A1" s="130" t="s">
        <v>130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</row>
    <row r="2" spans="1:52" x14ac:dyDescent="0.25">
      <c r="A2" s="34" t="s">
        <v>131</v>
      </c>
      <c r="B2" s="35" t="s">
        <v>132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</row>
    <row r="3" spans="1:52" ht="15.75" customHeight="1" thickBot="1" x14ac:dyDescent="0.3">
      <c r="A3" s="7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</row>
    <row r="4" spans="1:52" ht="15.75" customHeight="1" thickBot="1" x14ac:dyDescent="0.3">
      <c r="A4" s="28" t="s">
        <v>0</v>
      </c>
      <c r="B4" s="132" t="s">
        <v>1</v>
      </c>
      <c r="C4" s="126"/>
      <c r="D4" s="126"/>
      <c r="E4" s="126"/>
      <c r="F4" s="126"/>
      <c r="G4" s="126"/>
      <c r="H4" s="126"/>
      <c r="I4" s="127"/>
      <c r="J4" s="129" t="s">
        <v>2</v>
      </c>
      <c r="K4" s="126"/>
      <c r="L4" s="126"/>
      <c r="M4" s="127"/>
      <c r="N4" s="125" t="s">
        <v>133</v>
      </c>
      <c r="O4" s="126"/>
      <c r="P4" s="126"/>
      <c r="Q4" s="126"/>
      <c r="R4" s="127"/>
      <c r="S4" s="128" t="s">
        <v>134</v>
      </c>
      <c r="T4" s="126"/>
      <c r="U4" s="126"/>
      <c r="V4" s="127"/>
      <c r="W4" s="133" t="s">
        <v>135</v>
      </c>
      <c r="X4" s="134"/>
      <c r="Y4" s="134"/>
      <c r="Z4" s="134"/>
      <c r="AA4" s="135"/>
      <c r="AB4" s="122" t="s">
        <v>263</v>
      </c>
      <c r="AC4" s="123"/>
      <c r="AD4" s="123"/>
      <c r="AE4" s="124"/>
      <c r="AK4" s="31" t="s">
        <v>202</v>
      </c>
      <c r="AL4" s="31" t="s">
        <v>203</v>
      </c>
      <c r="AM4" s="31" t="s">
        <v>204</v>
      </c>
      <c r="AO4" s="31" t="s">
        <v>205</v>
      </c>
      <c r="AP4" s="31" t="s">
        <v>206</v>
      </c>
      <c r="AR4" s="31" t="s">
        <v>207</v>
      </c>
      <c r="AS4" s="31" t="s">
        <v>208</v>
      </c>
      <c r="AT4" s="31" t="s">
        <v>209</v>
      </c>
      <c r="AU4" s="31" t="s">
        <v>210</v>
      </c>
      <c r="AV4" s="31" t="s">
        <v>211</v>
      </c>
      <c r="AX4" s="31" t="s">
        <v>212</v>
      </c>
      <c r="AY4" s="31" t="s">
        <v>213</v>
      </c>
      <c r="AZ4" s="31" t="s">
        <v>214</v>
      </c>
    </row>
    <row r="5" spans="1:52" ht="15.75" customHeight="1" thickBot="1" x14ac:dyDescent="0.3">
      <c r="A5" s="5" t="s">
        <v>4</v>
      </c>
      <c r="B5" s="6" t="s">
        <v>5</v>
      </c>
      <c r="C5" s="6" t="s">
        <v>136</v>
      </c>
      <c r="D5" s="6" t="s">
        <v>7</v>
      </c>
      <c r="E5" s="6" t="s">
        <v>137</v>
      </c>
      <c r="F5" s="6" t="s">
        <v>9</v>
      </c>
      <c r="G5" s="6" t="s">
        <v>138</v>
      </c>
      <c r="H5" s="6" t="s">
        <v>11</v>
      </c>
      <c r="I5" s="24" t="s">
        <v>139</v>
      </c>
      <c r="J5" s="8" t="s">
        <v>13</v>
      </c>
      <c r="K5" s="8" t="s">
        <v>14</v>
      </c>
      <c r="L5" s="8" t="s">
        <v>20</v>
      </c>
      <c r="M5" s="8" t="s">
        <v>21</v>
      </c>
      <c r="N5" s="9" t="s">
        <v>23</v>
      </c>
      <c r="O5" s="9" t="s">
        <v>140</v>
      </c>
      <c r="P5" s="9" t="s">
        <v>97</v>
      </c>
      <c r="Q5" s="9" t="s">
        <v>103</v>
      </c>
      <c r="R5" s="9" t="s">
        <v>107</v>
      </c>
      <c r="S5" s="11" t="s">
        <v>86</v>
      </c>
      <c r="T5" s="11" t="s">
        <v>93</v>
      </c>
      <c r="U5" s="11" t="s">
        <v>184</v>
      </c>
      <c r="V5" s="80" t="s">
        <v>104</v>
      </c>
      <c r="W5" s="30" t="s">
        <v>141</v>
      </c>
      <c r="X5" s="30" t="s">
        <v>142</v>
      </c>
      <c r="Y5" s="30" t="s">
        <v>133</v>
      </c>
      <c r="Z5" s="30" t="s">
        <v>134</v>
      </c>
      <c r="AA5" s="30" t="s">
        <v>215</v>
      </c>
      <c r="AB5" s="118" t="s">
        <v>216</v>
      </c>
      <c r="AC5" s="118" t="s">
        <v>115</v>
      </c>
      <c r="AD5" s="103" t="s">
        <v>217</v>
      </c>
      <c r="AE5" s="104" t="s">
        <v>218</v>
      </c>
    </row>
    <row r="6" spans="1:52" ht="15.75" thickBot="1" x14ac:dyDescent="0.3">
      <c r="A6" s="12" t="s">
        <v>32</v>
      </c>
      <c r="B6" s="10">
        <f>_xlfn.XLOOKUP($A6,'Master Raw Data'!$A:$A,'Master Raw Data'!$B:$B)</f>
        <v>333</v>
      </c>
      <c r="C6" s="10">
        <f>_xlfn.XLOOKUP($A6,'Master Raw Data'!$A:$A,'Master Raw Data'!$B:$B)-_xlfn.XLOOKUP('Macro Regime Monitor'!$A6,'Master Raw Data'!$A:$A,'Master Raw Data'!$C:$C)</f>
        <v>3</v>
      </c>
      <c r="D6" s="10">
        <f>_xlfn.XLOOKUP($A6,'Master Raw Data'!$A:$A,'Master Raw Data'!$D:$D)</f>
        <v>1.6</v>
      </c>
      <c r="E6" s="10">
        <f>_xlfn.XLOOKUP($A6,'Master Raw Data'!$A:$A,'Master Raw Data'!$D:$D)-_xlfn.XLOOKUP('Macro Regime Monitor'!$A6,'Master Raw Data'!$A:$A,'Master Raw Data'!$E:$E)</f>
        <v>1.1000000000000001</v>
      </c>
      <c r="F6" s="10">
        <f>_xlfn.XLOOKUP($A6,'Master Raw Data'!$A:$A,'Master Raw Data'!$F:$F)</f>
        <v>4.3</v>
      </c>
      <c r="G6" s="10">
        <f>_xlfn.XLOOKUP($A6,'Master Raw Data'!$A:$A,'Master Raw Data'!$F:$F)-_xlfn.XLOOKUP('Macro Regime Monitor'!$A6,'Master Raw Data'!$A:$A,'Master Raw Data'!$G:$G)</f>
        <v>0</v>
      </c>
      <c r="H6" s="10">
        <f>_xlfn.XLOOKUP($A6,'Master Raw Data'!$A:$A,'Master Raw Data'!$H:$H)</f>
        <v>55.1</v>
      </c>
      <c r="I6" s="10">
        <f>_xlfn.XLOOKUP($A6,'Master Raw Data'!$A:$A,'Master Raw Data'!$H:$H)-_xlfn.XLOOKUP('Macro Regime Monitor'!$A6,'Master Raw Data'!$A:$A,'Master Raw Data'!$I:$I)</f>
        <v>0.60000000000000142</v>
      </c>
      <c r="J6" s="25">
        <f>_xlfn.XLOOKUP($A6,'Master Raw Data'!$A:$A,'Master Raw Data'!$J:$J)</f>
        <v>3.75</v>
      </c>
      <c r="K6" s="25">
        <f>_xlfn.XLOOKUP($A6,'Master Raw Data'!$A:$A,'Master Raw Data'!$K:$K)</f>
        <v>-4.9999999999999822E-2</v>
      </c>
      <c r="L6" s="25">
        <f>ABS(_xlfn.XLOOKUP($A6,'Master Raw Data'!$A:$A,'Master Raw Data'!$Q:$Q))</f>
        <v>1.7999999999999998</v>
      </c>
      <c r="M6" s="25">
        <f>_xlfn.XLOOKUP($A6,'Master Raw Data'!$A:$A,'Master Raw Data'!$R:$R)</f>
        <v>0</v>
      </c>
      <c r="N6" s="26">
        <f>_xlfn.XLOOKUP($A6,'Master Raw Data'!$A:$A,'Master Raw Data'!$T:$T)</f>
        <v>4.54</v>
      </c>
      <c r="O6" s="26">
        <f>_xlfn.XLOOKUP($A6,'Master Raw Data'!$A:$A,'Master Raw Data'!$T:$T)-_xlfn.XLOOKUP('Macro Regime Monitor'!$A6,'Master Raw Data'!$A:$A,'Master Raw Data'!$U:$U)</f>
        <v>0.40500000000000025</v>
      </c>
      <c r="P6" s="92">
        <f>('Master Raw Data'!$V3/'Master Raw Data'!$X3)-1</f>
        <v>0.22783216876112555</v>
      </c>
      <c r="Q6" s="89">
        <f>('Master Raw Data'!$Y3/'Master Raw Data'!$AA3)-1</f>
        <v>0</v>
      </c>
      <c r="R6" s="92">
        <f>_xlfn.XLOOKUP($A6,'Master Raw Data'!$A:$A,'Master Raw Data'!$AB:$AB)</f>
        <v>0</v>
      </c>
      <c r="S6" s="97">
        <f>('Master Raw Data'!$V3/'Master Raw Data'!$W3)-1</f>
        <v>0.11491076100051423</v>
      </c>
      <c r="T6" s="94">
        <f>('Master Raw Data'!$Y3/'Master Raw Data'!$Z3)-1</f>
        <v>0</v>
      </c>
      <c r="U6" s="97">
        <f>ABS($S6)+ABS($T6)</f>
        <v>0.11491076100051423</v>
      </c>
      <c r="V6" s="81" t="s">
        <v>57</v>
      </c>
      <c r="W6" s="87">
        <f>AVERAGE($AK6,$AL6,$AM6)</f>
        <v>71.978715728715741</v>
      </c>
      <c r="X6" s="86">
        <f>AVERAGE($AO6,$AP6)</f>
        <v>50.285876079277493</v>
      </c>
      <c r="Y6" s="101">
        <f>AVERAGE($AR6:$AV6)</f>
        <v>54.427232849572533</v>
      </c>
      <c r="Z6" s="101">
        <f t="shared" ref="Z6:Z11" si="0">(0.4*$AX6)+(0.4*$AY6)+(0.2*$AZ6)</f>
        <v>63.076256309153642</v>
      </c>
      <c r="AA6" s="111">
        <f>(0.3*W6)+(0.25*X6)+(0.25*Y6)+(0.2*Z6)</f>
        <v>60.387143212657953</v>
      </c>
      <c r="AB6" s="32">
        <f>_xlfn.RANK.EQ(AA6,$AA$6:$AA$27,0)</f>
        <v>6</v>
      </c>
      <c r="AC6" s="59" t="str">
        <f>IF(AND(W6&lt;50,ISNUMBER(L6),L6&gt;2),"Stagflation Shock",IF(AND(Y6&lt;50,Z6&lt;50),"Stress",IF(AND(W6&gt;=60,X6&lt;50),"Late Cycle",IF(AND(W6&gt;=65,Y6&gt;=50,Z6&gt;=50),"Expansion",IF(AND(W6&gt;=40,W6&lt;60,Z6&gt;=60),"Recovery","Neutral")))))</f>
        <v>Expansion</v>
      </c>
      <c r="AD6" s="115" t="str" cm="1">
        <f t="array" ref="AD6">_xlfn.XLOOKUP('Ticker Map'!E3,'Macro Regime Monitor'!$AB$6:$AB$27,'Macro Regime Monitor'!$A$6:A$27)</f>
        <v>Norway</v>
      </c>
      <c r="AE6" s="112" t="str">
        <f>_xlfn.XLOOKUP('Ticker Map'!F3,'Macro Regime Monitor'!$AB$6:$AB$27,'Macro Regime Monitor'!$A$6:$A$27)</f>
        <v>Turkey</v>
      </c>
      <c r="AK6" s="88">
        <f>(E6-MIN($E$6:$E$27))/(MAX($E$6:$E$27)-MIN($E$6:$E$27))*100</f>
        <v>88.095238095238088</v>
      </c>
      <c r="AL6" s="88">
        <f>(MAX($G$6:$G$27)-G6)/(MAX($G$6:$G$27)-MIN($G$6:$G$27))*100</f>
        <v>81.250000000000014</v>
      </c>
      <c r="AM6" s="88">
        <f>(I6-MIN($I$6:$I$27))/(MAX($I$6:$I$27)-MIN($I$6:$I$27))*100</f>
        <v>46.590909090909122</v>
      </c>
      <c r="AO6" s="88">
        <f>(K6-MIN($K$6:$K$27))/(MAX($K$6:$K$27)-MIN($K$6:$K$27))*100</f>
        <v>6.874427131072415</v>
      </c>
      <c r="AP6" s="88">
        <f>(MAX($L$6:$L$27)-L6)/(MAX($L$6:$L$27)-MIN($L$6:$L$27))*100</f>
        <v>93.697325027482577</v>
      </c>
      <c r="AR6" s="88">
        <f>(MAX($N$6:$N$27)-N6)/(MAX($N$6:$N$27)-MIN($N$6:$N$27))*100</f>
        <v>87.122755335485294</v>
      </c>
      <c r="AS6" s="88">
        <f>(O6-MIN($O$6:$O$27))/(MAX($O$6:$O$27)-MIN($O$6:$O$27))*100</f>
        <v>90.970631118516991</v>
      </c>
      <c r="AT6" s="88">
        <f>(P6-MIN($P$6:$P$27))/(MAX($P$6:$P$27)-MIN($P$6:$P$27))*100</f>
        <v>17.683589139626886</v>
      </c>
      <c r="AU6">
        <f>(MAX($Q$6:$Q$27)-Q6)/(MAX($Q$6:$Q$27)-MIN($Q$6:$Q$27))*100</f>
        <v>63.481943989718815</v>
      </c>
      <c r="AV6">
        <f>(MAX($R$6:$R$27)-R6)/(MAX($R$6:$R$27)-MIN($R$6:$R$27))*100</f>
        <v>12.877244664514711</v>
      </c>
      <c r="AX6" s="88">
        <f>(S6-MIN($S$6:$S$27))/(MAX($S$6:$S$27)-MIN($S$6:$S$27))*100</f>
        <v>51.584576456568684</v>
      </c>
      <c r="AY6" s="88">
        <f>(MAX($T$6:$T$27)-T6)/(MAX($T$6:$T$27)-MIN($T$6:$T$27))*100</f>
        <v>67.414863457046806</v>
      </c>
      <c r="AZ6" s="102">
        <f>(MAX($U$6:$U$27)-U6)/(MAX($U$6:$U$27)-MIN($U$6:$U$27))*100</f>
        <v>77.382401718537224</v>
      </c>
    </row>
    <row r="7" spans="1:52" ht="15.75" thickBot="1" x14ac:dyDescent="0.3">
      <c r="A7" s="13" t="s">
        <v>33</v>
      </c>
      <c r="B7" s="10">
        <f>_xlfn.XLOOKUP($A7,'Master Raw Data'!$A:$A,'Master Raw Data'!$B:$B)</f>
        <v>103</v>
      </c>
      <c r="C7" s="10">
        <f>_xlfn.XLOOKUP(A7,'Master Raw Data'!$A:$A,'Master Raw Data'!$B:$B)-_xlfn.XLOOKUP('Macro Regime Monitor'!A7,'Master Raw Data'!$A:$A,'Master Raw Data'!$C:$C)</f>
        <v>0</v>
      </c>
      <c r="D7" s="10">
        <f>_xlfn.XLOOKUP($A7,'Master Raw Data'!$A:$A,'Master Raw Data'!$D:$D)</f>
        <v>0.1</v>
      </c>
      <c r="E7" s="10">
        <f>_xlfn.XLOOKUP($A7,'Master Raw Data'!$A:$A,'Master Raw Data'!$D:$D)-_xlfn.XLOOKUP('Macro Regime Monitor'!$A7,'Master Raw Data'!$A:$A,'Master Raw Data'!$E:$E)</f>
        <v>-0.1</v>
      </c>
      <c r="F7" s="10">
        <f>_xlfn.XLOOKUP($A7,'Master Raw Data'!$A:$A,'Master Raw Data'!$F:$F)</f>
        <v>6.3</v>
      </c>
      <c r="G7" s="10">
        <f>_xlfn.XLOOKUP($A7,'Master Raw Data'!$A:$A,'Master Raw Data'!$F:$F)-_xlfn.XLOOKUP('Macro Regime Monitor'!$A7,'Master Raw Data'!$A:$A,'Master Raw Data'!$G:$G)</f>
        <v>0</v>
      </c>
      <c r="H7" s="10">
        <f>_xlfn.XLOOKUP($A7,'Master Raw Data'!$A:$A,'Master Raw Data'!$H:$H)</f>
        <v>51.6</v>
      </c>
      <c r="I7" s="10">
        <f>_xlfn.XLOOKUP($A7,'Master Raw Data'!$A:$A,'Master Raw Data'!$H:$H)-_xlfn.XLOOKUP('Macro Regime Monitor'!$A7,'Master Raw Data'!$A:$A,'Master Raw Data'!$I:$I)</f>
        <v>-0.60000000000000142</v>
      </c>
      <c r="J7" s="25">
        <f>_xlfn.XLOOKUP($A7,'Master Raw Data'!$A:$A,'Master Raw Data'!$J:$J)</f>
        <v>2.4</v>
      </c>
      <c r="K7" s="25">
        <f>_xlfn.XLOOKUP($A7,'Master Raw Data'!$A:$A,'Master Raw Data'!$K:$K)</f>
        <v>-0.80000000000000027</v>
      </c>
      <c r="L7" s="25">
        <f>ABS(_xlfn.XLOOKUP($A7,'Master Raw Data'!$A:$A,'Master Raw Data'!$Q:$Q))</f>
        <v>1.2000000000000002</v>
      </c>
      <c r="M7" s="25">
        <f>_xlfn.XLOOKUP($A7,'Master Raw Data'!$A:$A,'Master Raw Data'!$R:$R)</f>
        <v>0.25</v>
      </c>
      <c r="N7" s="26">
        <f>_xlfn.XLOOKUP($A7,'Master Raw Data'!$A:$A,'Master Raw Data'!$T:$T)</f>
        <v>3.0510000000000002</v>
      </c>
      <c r="O7" s="26">
        <f>_xlfn.XLOOKUP($A7,'Master Raw Data'!$A:$A,'Master Raw Data'!$T:$T)-_xlfn.XLOOKUP('Macro Regime Monitor'!$A7,'Master Raw Data'!$A:$A,'Master Raw Data'!$U:$U)</f>
        <v>0.37000000000000011</v>
      </c>
      <c r="P7" s="92">
        <f>('Master Raw Data'!$V4/'Master Raw Data'!$X4)-1</f>
        <v>0.11542732547968115</v>
      </c>
      <c r="Q7" s="89">
        <f>('Master Raw Data'!$Y4/'Master Raw Data'!$AA4)-1</f>
        <v>-2.9902242668200518E-3</v>
      </c>
      <c r="R7" s="92">
        <f>_xlfn.XLOOKUP($A7,'Master Raw Data'!$A:$A,'Master Raw Data'!$AB:$AB)</f>
        <v>1.4889999999999999</v>
      </c>
      <c r="S7" s="97">
        <f>('Master Raw Data'!$V4/'Master Raw Data'!$W4)-1</f>
        <v>3.7653520455974476E-2</v>
      </c>
      <c r="T7" s="94">
        <f>('Master Raw Data'!$Y4/'Master Raw Data'!$Z4)-1</f>
        <v>-3.1048758049678771E-3</v>
      </c>
      <c r="U7" s="97">
        <f t="shared" ref="U7:U13" si="1">ABS($S7)+ABS($T7)</f>
        <v>4.0758396260942353E-2</v>
      </c>
      <c r="V7" s="81" t="s">
        <v>57</v>
      </c>
      <c r="W7" s="87">
        <f t="shared" ref="W7:W27" si="2">AVERAGE($AK7,$AL7,$AM7)</f>
        <v>61.480880230880224</v>
      </c>
      <c r="X7" s="86">
        <f t="shared" ref="X7:X27" si="3">AVERAGE($AO7,$AP7)</f>
        <v>47.947966288017582</v>
      </c>
      <c r="Y7" s="101">
        <f>AVERAGE($AR7:$AV7)</f>
        <v>53.551253431119484</v>
      </c>
      <c r="Z7" s="101">
        <f t="shared" si="0"/>
        <v>63.364705589983785</v>
      </c>
      <c r="AA7" s="111">
        <f t="shared" ref="AA7:AA27" si="4">(0.3*W7)+(0.25*X7)+(0.25*Y7)+(0.2*Z7)</f>
        <v>56.492010117045091</v>
      </c>
      <c r="AB7" s="32">
        <f t="shared" ref="AB7:AB27" si="5">_xlfn.RANK.EQ(AA7,$AA$6:$AA$27,0)</f>
        <v>11</v>
      </c>
      <c r="AC7" s="59" t="str">
        <f t="shared" ref="AC7:AC27" si="6">IF(AND(W7&lt;50,ISNUMBER(L7),L7&gt;2),"Stagflation Shock",IF(AND(Y7&lt;50,Z7&lt;50),"Stress",IF(AND(W7&gt;=60,X7&lt;50),"Late Cycle",IF(AND(W7&gt;=65,Y7&gt;=50,Z7&gt;=50),"Expansion",IF(AND(W7&gt;=40,W7&lt;60,Z7&gt;=60),"Recovery","Neutral")))))</f>
        <v>Late Cycle</v>
      </c>
      <c r="AD7" s="116" t="str" cm="1">
        <f t="array" ref="AD7">_xlfn.XLOOKUP('Ticker Map'!E4,'Macro Regime Monitor'!$AB$6:$AB$27,'Macro Regime Monitor'!$A$6:A$27)</f>
        <v>Brazil</v>
      </c>
      <c r="AE7" s="113" t="str">
        <f>_xlfn.XLOOKUP('Ticker Map'!F4,'Macro Regime Monitor'!$AB$6:$AB$27,'Macro Regime Monitor'!$A$6:$A$27)</f>
        <v>Indonesia</v>
      </c>
      <c r="AK7" s="88">
        <f t="shared" ref="AK7:AK27" si="7">(E7-MIN($E$6:$E$27))/(MAX($E$6:$E$27)-MIN($E$6:$E$27))*100</f>
        <v>70.238095238095241</v>
      </c>
      <c r="AL7" s="88">
        <f t="shared" ref="AL7:AL27" si="8">(MAX($G$6:$G$27)-G7)/(MAX($G$6:$G$27)-MIN($G$6:$G$27))*100</f>
        <v>81.250000000000014</v>
      </c>
      <c r="AM7" s="88">
        <f t="shared" ref="AM7:AM27" si="9">(I7-MIN($I$6:$I$27))/(MAX($I$6:$I$27)-MIN($I$6:$I$27))*100</f>
        <v>32.954545454545446</v>
      </c>
      <c r="AO7" s="88">
        <f t="shared" ref="AO7:AO27" si="10">(K7-MIN($K$6:$K$27))/(MAX($K$6:$K$27)-MIN($K$6:$K$27))*100</f>
        <v>0</v>
      </c>
      <c r="AP7" s="88">
        <f t="shared" ref="AP7:AP26" si="11">(MAX($L$6:$L$27)-L7)/(MAX($L$6:$L$27)-MIN($L$6:$L$27))*100</f>
        <v>95.895932576035165</v>
      </c>
      <c r="AR7" s="88">
        <f t="shared" ref="AR7:AR27" si="12">(MAX($N$6:$N$27)-N7)/(MAX($N$6:$N$27)-MIN($N$6:$N$27))*100</f>
        <v>91.789150396439879</v>
      </c>
      <c r="AS7" s="88">
        <f t="shared" ref="AS7:AS27" si="13">(O7-MIN($O$6:$O$27))/(MAX($O$6:$O$27)-MIN($O$6:$O$27))*100</f>
        <v>90.606123724224133</v>
      </c>
      <c r="AT7" s="88">
        <f t="shared" ref="AT7:AT27" si="14">(P7-MIN($P$6:$P$27))/(MAX($P$6:$P$27)-MIN($P$6:$P$27))*100</f>
        <v>12.495651261182793</v>
      </c>
      <c r="AU7">
        <f t="shared" ref="AU7:AU27" si="15">(MAX($Q$6:$Q$27)-Q7)/(MAX($Q$6:$Q$27)-MIN($Q$6:$Q$27))*100</f>
        <v>64.65449217019048</v>
      </c>
      <c r="AV7">
        <f t="shared" ref="AV7:AV27" si="16">(MAX($R$6:$R$27)-R7)/(MAX($R$6:$R$27)-MIN($R$6:$R$27))*100</f>
        <v>8.2108496035601242</v>
      </c>
      <c r="AX7" s="88">
        <f t="shared" ref="AX7:AX27" si="17">(S7-MIN($S$6:$S$27))/(MAX($S$6:$S$27)-MIN($S$6:$S$27))*100</f>
        <v>40.586112434534726</v>
      </c>
      <c r="AY7" s="88">
        <f t="shared" ref="AY7:AY27" si="18">(MAX($T$6:$T$27)-T7)/(MAX($T$6:$T$27)-MIN($T$6:$T$27))*100</f>
        <v>71.260259220353561</v>
      </c>
      <c r="AZ7" s="102">
        <f t="shared" ref="AZ7:AZ27" si="19">(MAX($U$6:$U$27)-U7)/(MAX($U$6:$U$27)-MIN($U$6:$U$27))*100</f>
        <v>93.130784640142295</v>
      </c>
    </row>
    <row r="8" spans="1:52" ht="15.75" thickBot="1" x14ac:dyDescent="0.3">
      <c r="A8" s="13" t="s">
        <v>34</v>
      </c>
      <c r="B8" s="10">
        <f>_xlfn.XLOOKUP($A8,'Master Raw Data'!$A:$A,'Master Raw Data'!$B:$B)</f>
        <v>142</v>
      </c>
      <c r="C8" s="10">
        <f>_xlfn.XLOOKUP(A8,'Master Raw Data'!$A:$A,'Master Raw Data'!$B:$B)-_xlfn.XLOOKUP('Macro Regime Monitor'!A8,'Master Raw Data'!$A:$A,'Master Raw Data'!$C:$C)</f>
        <v>1</v>
      </c>
      <c r="D8" s="10">
        <f>_xlfn.XLOOKUP($A8,'Master Raw Data'!$A:$A,'Master Raw Data'!$D:$D)</f>
        <v>0.6</v>
      </c>
      <c r="E8" s="10">
        <f>_xlfn.XLOOKUP($A8,'Master Raw Data'!$A:$A,'Master Raw Data'!$D:$D)-_xlfn.XLOOKUP('Macro Regime Monitor'!$A8,'Master Raw Data'!$A:$A,'Master Raw Data'!$E:$E)</f>
        <v>0.39999999999999997</v>
      </c>
      <c r="F8" s="10">
        <f>_xlfn.XLOOKUP($A8,'Master Raw Data'!$A:$A,'Master Raw Data'!$F:$F)</f>
        <v>5</v>
      </c>
      <c r="G8" s="10">
        <f>_xlfn.XLOOKUP($A8,'Master Raw Data'!$A:$A,'Master Raw Data'!$F:$F)-_xlfn.XLOOKUP('Macro Regime Monitor'!$A8,'Master Raw Data'!$A:$A,'Master Raw Data'!$G:$G)</f>
        <v>9.9999999999999645E-2</v>
      </c>
      <c r="H8" s="10">
        <f>_xlfn.XLOOKUP($A8,'Master Raw Data'!$A:$A,'Master Raw Data'!$H:$H)</f>
        <v>53.9</v>
      </c>
      <c r="I8" s="10">
        <f>_xlfn.XLOOKUP($A8,'Master Raw Data'!$A:$A,'Master Raw Data'!$H:$H)-_xlfn.XLOOKUP('Macro Regime Monitor'!$A8,'Master Raw Data'!$A:$A,'Master Raw Data'!$I:$I)</f>
        <v>0.19999999999999574</v>
      </c>
      <c r="J8" s="25">
        <f>_xlfn.XLOOKUP($A8,'Master Raw Data'!$A:$A,'Master Raw Data'!$J:$J)</f>
        <v>3.75</v>
      </c>
      <c r="K8" s="25">
        <f>_xlfn.XLOOKUP($A8,'Master Raw Data'!$A:$A,'Master Raw Data'!$K:$K)</f>
        <v>0.95000000000000018</v>
      </c>
      <c r="L8" s="25">
        <f>ABS(_xlfn.XLOOKUP($A8,'Master Raw Data'!$A:$A,'Master Raw Data'!$Q:$Q))</f>
        <v>0.79999999999999982</v>
      </c>
      <c r="M8" s="25">
        <f>_xlfn.XLOOKUP($A8,'Master Raw Data'!$A:$A,'Master Raw Data'!$R:$R)</f>
        <v>0</v>
      </c>
      <c r="N8" s="26">
        <f>_xlfn.XLOOKUP($A8,'Master Raw Data'!$A:$A,'Master Raw Data'!$T:$T)</f>
        <v>4.9539999999999997</v>
      </c>
      <c r="O8" s="26">
        <f>_xlfn.XLOOKUP($A8,'Master Raw Data'!$A:$A,'Master Raw Data'!$T:$T)-_xlfn.XLOOKUP('Macro Regime Monitor'!$A8,'Master Raw Data'!$A:$A,'Master Raw Data'!$U:$U)</f>
        <v>0.57200000000000006</v>
      </c>
      <c r="P8" s="92">
        <f>('Master Raw Data'!$V5/'Master Raw Data'!$X5)-1</f>
        <v>0.16420355682100629</v>
      </c>
      <c r="Q8" s="89">
        <f>('Master Raw Data'!$Y5/'Master Raw Data'!$AA5)-1</f>
        <v>5.5085315061131901E-3</v>
      </c>
      <c r="R8" s="92">
        <f>_xlfn.XLOOKUP($A8,'Master Raw Data'!$A:$A,'Master Raw Data'!$AB:$AB)</f>
        <v>-0.4139999999999997</v>
      </c>
      <c r="S8" s="97">
        <f>('Master Raw Data'!$V5/'Master Raw Data'!$W5)-1</f>
        <v>-4.8194865653189423E-3</v>
      </c>
      <c r="T8" s="94">
        <f>('Master Raw Data'!$Y5/'Master Raw Data'!$Z5)-1</f>
        <v>-3.5947277326587868E-3</v>
      </c>
      <c r="U8" s="97">
        <f t="shared" si="1"/>
        <v>8.414214297977729E-3</v>
      </c>
      <c r="V8" s="81" t="s">
        <v>57</v>
      </c>
      <c r="W8" s="87">
        <f t="shared" si="2"/>
        <v>64.908008658008669</v>
      </c>
      <c r="X8" s="86">
        <f t="shared" si="3"/>
        <v>56.701000457119591</v>
      </c>
      <c r="Y8" s="100">
        <f>AVERAGE($AR8:$AV8)</f>
        <v>53.755724546325588</v>
      </c>
      <c r="Z8" s="101">
        <f t="shared" si="0"/>
        <v>62.562611736846677</v>
      </c>
      <c r="AA8" s="111">
        <f t="shared" si="4"/>
        <v>59.599106195633226</v>
      </c>
      <c r="AB8" s="32">
        <f t="shared" si="5"/>
        <v>8</v>
      </c>
      <c r="AC8" s="59" t="str">
        <f t="shared" si="6"/>
        <v>Neutral</v>
      </c>
      <c r="AD8" s="116" t="str" cm="1">
        <f t="array" ref="AD8">_xlfn.XLOOKUP('Ticker Map'!E5,'Macro Regime Monitor'!$AB$6:$AB$27,'Macro Regime Monitor'!$A$6:A$27)</f>
        <v>China</v>
      </c>
      <c r="AE8" s="113" t="str">
        <f>_xlfn.XLOOKUP('Ticker Map'!F5,'Macro Regime Monitor'!$AB$6:$AB$27,'Macro Regime Monitor'!$A$6:$A$27)</f>
        <v>Saudi Arabia</v>
      </c>
      <c r="AK8" s="88">
        <f t="shared" si="7"/>
        <v>77.678571428571431</v>
      </c>
      <c r="AL8" s="88">
        <f t="shared" si="8"/>
        <v>75.000000000000057</v>
      </c>
      <c r="AM8" s="88">
        <f t="shared" si="9"/>
        <v>42.045454545454511</v>
      </c>
      <c r="AO8" s="88">
        <f t="shared" si="10"/>
        <v>16.040329972502295</v>
      </c>
      <c r="AP8" s="88">
        <f t="shared" si="11"/>
        <v>97.36167094173689</v>
      </c>
      <c r="AR8" s="88">
        <f t="shared" si="12"/>
        <v>85.825315741640296</v>
      </c>
      <c r="AS8" s="88">
        <f t="shared" si="13"/>
        <v>92.709852114142876</v>
      </c>
      <c r="AT8" s="88">
        <f t="shared" si="14"/>
        <v>14.746871500063596</v>
      </c>
      <c r="AU8">
        <f t="shared" si="15"/>
        <v>61.321899117421417</v>
      </c>
      <c r="AV8">
        <f t="shared" si="16"/>
        <v>14.174684258359708</v>
      </c>
      <c r="AX8" s="88">
        <f t="shared" si="17"/>
        <v>34.539587392497012</v>
      </c>
      <c r="AY8" s="88">
        <f t="shared" si="18"/>
        <v>71.866941949619672</v>
      </c>
      <c r="AZ8" s="102">
        <f t="shared" si="19"/>
        <v>100</v>
      </c>
    </row>
    <row r="9" spans="1:52" ht="15.75" thickBot="1" x14ac:dyDescent="0.3">
      <c r="A9" s="13" t="s">
        <v>35</v>
      </c>
      <c r="B9" s="10">
        <f>_xlfn.XLOOKUP($A9,'Master Raw Data'!$A:$A,'Master Raw Data'!$B:$B)</f>
        <v>113</v>
      </c>
      <c r="C9" s="10">
        <f>_xlfn.XLOOKUP(A9,'Master Raw Data'!$A:$A,'Master Raw Data'!$B:$B)-_xlfn.XLOOKUP('Macro Regime Monitor'!A9,'Master Raw Data'!$A:$A,'Master Raw Data'!$C:$C)</f>
        <v>0</v>
      </c>
      <c r="D9" s="10">
        <f>_xlfn.XLOOKUP($A9,'Master Raw Data'!$A:$A,'Master Raw Data'!$D:$D)</f>
        <v>0.5</v>
      </c>
      <c r="E9" s="10">
        <f>_xlfn.XLOOKUP($A9,'Master Raw Data'!$A:$A,'Master Raw Data'!$D:$D)-_xlfn.XLOOKUP('Macro Regime Monitor'!$A9,'Master Raw Data'!$A:$A,'Master Raw Data'!$E:$E)</f>
        <v>0.3</v>
      </c>
      <c r="F9" s="10">
        <f>_xlfn.XLOOKUP($A9,'Master Raw Data'!$A:$A,'Master Raw Data'!$F:$F)</f>
        <v>2.5</v>
      </c>
      <c r="G9" s="10">
        <f>_xlfn.XLOOKUP($A9,'Master Raw Data'!$A:$A,'Master Raw Data'!$F:$F)-_xlfn.XLOOKUP('Macro Regime Monitor'!$A9,'Master Raw Data'!$A:$A,'Master Raw Data'!$G:$G)</f>
        <v>-0.20000000000000018</v>
      </c>
      <c r="H9" s="10">
        <f>_xlfn.XLOOKUP($A9,'Master Raw Data'!$A:$A,'Master Raw Data'!$H:$H)</f>
        <v>54.5</v>
      </c>
      <c r="I9" s="10">
        <f>_xlfn.XLOOKUP($A9,'Master Raw Data'!$A:$A,'Master Raw Data'!$H:$H)-_xlfn.XLOOKUP('Macro Regime Monitor'!$A9,'Master Raw Data'!$A:$A,'Master Raw Data'!$I:$I)</f>
        <v>-0.60000000000000142</v>
      </c>
      <c r="J9" s="25">
        <f>_xlfn.XLOOKUP($A9,'Master Raw Data'!$A:$A,'Master Raw Data'!$J:$J)</f>
        <v>0.75</v>
      </c>
      <c r="K9" s="25">
        <f>_xlfn.XLOOKUP($A9,'Master Raw Data'!$A:$A,'Master Raw Data'!$K:$K)</f>
        <v>-0.64999999999999991</v>
      </c>
      <c r="L9" s="25">
        <f>ABS(_xlfn.XLOOKUP($A9,'Master Raw Data'!$A:$A,'Master Raw Data'!$Q:$Q))</f>
        <v>0.60000000000000009</v>
      </c>
      <c r="M9" s="25">
        <f>_xlfn.XLOOKUP($A9,'Master Raw Data'!$A:$A,'Master Raw Data'!$R:$R)</f>
        <v>0</v>
      </c>
      <c r="N9" s="26">
        <f>_xlfn.XLOOKUP($A9,'Master Raw Data'!$A:$A,'Master Raw Data'!$T:$T)</f>
        <v>2.6859999999999999</v>
      </c>
      <c r="O9" s="26">
        <f>_xlfn.XLOOKUP($A9,'Master Raw Data'!$A:$A,'Master Raw Data'!$T:$T)-_xlfn.XLOOKUP('Macro Regime Monitor'!$A9,'Master Raw Data'!$A:$A,'Master Raw Data'!$U:$U)</f>
        <v>1.272</v>
      </c>
      <c r="P9" s="92">
        <f>('Master Raw Data'!$V6/'Master Raw Data'!$X6)-1</f>
        <v>0.761912450457918</v>
      </c>
      <c r="Q9" s="89">
        <f>('Master Raw Data'!$Y6/'Master Raw Data'!$AA6)-1</f>
        <v>9.7815680052522058E-2</v>
      </c>
      <c r="R9" s="92">
        <f>_xlfn.XLOOKUP($A9,'Master Raw Data'!$A:$A,'Master Raw Data'!$AB:$AB)</f>
        <v>1.8540000000000001</v>
      </c>
      <c r="S9" s="97">
        <f>('Master Raw Data'!$V6/'Master Raw Data'!$W6)-1</f>
        <v>0.19981092357943231</v>
      </c>
      <c r="T9" s="94">
        <f>('Master Raw Data'!$Y6/'Master Raw Data'!$Z6)-1</f>
        <v>8.9374941076647563E-3</v>
      </c>
      <c r="U9" s="97">
        <f t="shared" si="1"/>
        <v>0.20874841768709707</v>
      </c>
      <c r="V9" s="81" t="s">
        <v>57</v>
      </c>
      <c r="W9" s="87">
        <f t="shared" si="2"/>
        <v>67.631673881673876</v>
      </c>
      <c r="X9" s="86">
        <f t="shared" si="3"/>
        <v>49.734712775401121</v>
      </c>
      <c r="Y9" s="101">
        <f t="shared" ref="Y9:Y27" si="20">AVERAGE($AR9:$AV9)</f>
        <v>53.491862228986164</v>
      </c>
      <c r="Z9" s="101">
        <f t="shared" si="0"/>
        <v>59.497398684147761</v>
      </c>
      <c r="AA9" s="111">
        <f t="shared" si="4"/>
        <v>57.995625652428537</v>
      </c>
      <c r="AB9" s="32">
        <f t="shared" si="5"/>
        <v>10</v>
      </c>
      <c r="AC9" s="59" t="str">
        <f t="shared" si="6"/>
        <v>Late Cycle</v>
      </c>
      <c r="AD9" s="116" t="str" cm="1">
        <f t="array" ref="AD9">_xlfn.XLOOKUP('Ticker Map'!E6,'Macro Regime Monitor'!$AB$6:$AB$27,'Macro Regime Monitor'!$A$6:A$27)</f>
        <v>Mexico</v>
      </c>
      <c r="AE9" s="113" t="str">
        <f>_xlfn.XLOOKUP('Ticker Map'!F6,'Macro Regime Monitor'!$AB$6:$AB$27,'Macro Regime Monitor'!$A$6:$A$27)</f>
        <v>South Africa</v>
      </c>
      <c r="AK9" s="88">
        <f t="shared" si="7"/>
        <v>76.19047619047619</v>
      </c>
      <c r="AL9" s="88">
        <f t="shared" si="8"/>
        <v>93.749999999999986</v>
      </c>
      <c r="AM9" s="88">
        <f t="shared" si="9"/>
        <v>32.954545454545446</v>
      </c>
      <c r="AO9" s="88">
        <f t="shared" si="10"/>
        <v>1.3748854262144854</v>
      </c>
      <c r="AP9" s="88">
        <f t="shared" si="11"/>
        <v>98.094540124587752</v>
      </c>
      <c r="AR9" s="88">
        <f t="shared" si="12"/>
        <v>92.933028299225924</v>
      </c>
      <c r="AS9" s="88">
        <f t="shared" si="13"/>
        <v>100</v>
      </c>
      <c r="AT9" s="88">
        <f t="shared" si="14"/>
        <v>42.333552990448567</v>
      </c>
      <c r="AU9">
        <f t="shared" si="15"/>
        <v>25.125758154482309</v>
      </c>
      <c r="AV9">
        <f t="shared" si="16"/>
        <v>7.0669717007740749</v>
      </c>
      <c r="AX9" s="88">
        <f t="shared" si="17"/>
        <v>63.671099053123683</v>
      </c>
      <c r="AY9" s="88">
        <f t="shared" si="18"/>
        <v>56.345756627973905</v>
      </c>
      <c r="AZ9" s="102">
        <f t="shared" si="19"/>
        <v>57.453282058543607</v>
      </c>
    </row>
    <row r="10" spans="1:52" ht="15.75" thickBot="1" x14ac:dyDescent="0.3">
      <c r="A10" s="13" t="s">
        <v>36</v>
      </c>
      <c r="B10" s="10">
        <f>_xlfn.XLOOKUP($A10,'Master Raw Data'!$A:$A,'Master Raw Data'!$B:$B)</f>
        <v>103</v>
      </c>
      <c r="C10" s="10">
        <f>_xlfn.XLOOKUP(A10,'Master Raw Data'!$A:$A,'Master Raw Data'!$B:$B)-_xlfn.XLOOKUP('Macro Regime Monitor'!A10,'Master Raw Data'!$A:$A,'Master Raw Data'!$C:$C)</f>
        <v>1</v>
      </c>
      <c r="D10" s="10">
        <f>_xlfn.XLOOKUP($A10,'Master Raw Data'!$A:$A,'Master Raw Data'!$D:$D)</f>
        <v>0.3</v>
      </c>
      <c r="E10" s="10">
        <f>_xlfn.XLOOKUP($A10,'Master Raw Data'!$A:$A,'Master Raw Data'!$D:$D)-_xlfn.XLOOKUP('Macro Regime Monitor'!$A10,'Master Raw Data'!$A:$A,'Master Raw Data'!$E:$E)</f>
        <v>-0.60000000000000009</v>
      </c>
      <c r="F10" s="10">
        <f>_xlfn.XLOOKUP($A10,'Master Raw Data'!$A:$A,'Master Raw Data'!$F:$F)</f>
        <v>4.5</v>
      </c>
      <c r="G10" s="10">
        <f>_xlfn.XLOOKUP($A10,'Master Raw Data'!$A:$A,'Master Raw Data'!$F:$F)-_xlfn.XLOOKUP('Macro Regime Monitor'!$A10,'Master Raw Data'!$A:$A,'Master Raw Data'!$G:$G)</f>
        <v>0.20000000000000018</v>
      </c>
      <c r="H10" s="10">
        <f>_xlfn.XLOOKUP($A10,'Master Raw Data'!$A:$A,'Master Raw Data'!$H:$H)</f>
        <v>50.7</v>
      </c>
      <c r="I10" s="10">
        <f>_xlfn.XLOOKUP($A10,'Master Raw Data'!$A:$A,'Master Raw Data'!$H:$H)-_xlfn.XLOOKUP('Macro Regime Monitor'!$A10,'Master Raw Data'!$A:$A,'Master Raw Data'!$I:$I)</f>
        <v>-0.59999999999999432</v>
      </c>
      <c r="J10" s="25">
        <f>_xlfn.XLOOKUP($A10,'Master Raw Data'!$A:$A,'Master Raw Data'!$J:$J)</f>
        <v>4.3499999999999996</v>
      </c>
      <c r="K10" s="25">
        <f>_xlfn.XLOOKUP($A10,'Master Raw Data'!$A:$A,'Master Raw Data'!$K:$K)</f>
        <v>0.14999999999999947</v>
      </c>
      <c r="L10" s="25">
        <f>ABS(_xlfn.XLOOKUP($A10,'Master Raw Data'!$A:$A,'Master Raw Data'!$Q:$Q))</f>
        <v>1.7000000000000002</v>
      </c>
      <c r="M10" s="25">
        <f>_xlfn.XLOOKUP($A10,'Master Raw Data'!$A:$A,'Master Raw Data'!$R:$R)</f>
        <v>0.25</v>
      </c>
      <c r="N10" s="26">
        <f>_xlfn.XLOOKUP($A10,'Master Raw Data'!$A:$A,'Master Raw Data'!$T:$T)</f>
        <v>4.8929999999999998</v>
      </c>
      <c r="O10" s="26">
        <f>_xlfn.XLOOKUP($A10,'Master Raw Data'!$A:$A,'Master Raw Data'!$T:$T)-_xlfn.XLOOKUP('Macro Regime Monitor'!$A10,'Master Raw Data'!$A:$A,'Master Raw Data'!$U:$U)</f>
        <v>0.35299999999999976</v>
      </c>
      <c r="P10" s="92">
        <f>('Master Raw Data'!$V7/'Master Raw Data'!$X7)-1</f>
        <v>3.0756442227763969E-2</v>
      </c>
      <c r="Q10" s="89">
        <f>('Master Raw Data'!$Y7/'Master Raw Data'!$AA7)-1</f>
        <v>-7.8261990716864349E-2</v>
      </c>
      <c r="R10" s="92">
        <f>_xlfn.XLOOKUP($A10,'Master Raw Data'!$A:$A,'Master Raw Data'!$AB:$AB)</f>
        <v>-0.35299999999999976</v>
      </c>
      <c r="S10" s="97">
        <f>('Master Raw Data'!$V7/'Master Raw Data'!$W7)-1</f>
        <v>2.168943147926794E-2</v>
      </c>
      <c r="T10" s="94">
        <f>('Master Raw Data'!$Y7/'Master Raw Data'!$Z7)-1</f>
        <v>1.0673641054640415E-2</v>
      </c>
      <c r="U10" s="97">
        <f t="shared" si="1"/>
        <v>3.2363072533908355E-2</v>
      </c>
      <c r="V10" s="81" t="s">
        <v>57</v>
      </c>
      <c r="W10" s="87">
        <f t="shared" si="2"/>
        <v>54.834054834054875</v>
      </c>
      <c r="X10" s="86">
        <f t="shared" si="3"/>
        <v>51.385683659133207</v>
      </c>
      <c r="Y10" s="101">
        <f t="shared" si="20"/>
        <v>58.63748439504203</v>
      </c>
      <c r="Z10" s="101">
        <f t="shared" si="0"/>
        <v>55.986344091727972</v>
      </c>
      <c r="AA10" s="111">
        <f t="shared" si="4"/>
        <v>55.153277282105861</v>
      </c>
      <c r="AB10" s="32">
        <f t="shared" si="5"/>
        <v>12</v>
      </c>
      <c r="AC10" s="59" t="str">
        <f t="shared" si="6"/>
        <v>Neutral</v>
      </c>
      <c r="AD10" s="117" t="str" cm="1">
        <f t="array" ref="AD10">_xlfn.XLOOKUP('Ticker Map'!E7,'Macro Regime Monitor'!$AB$6:$AB$27,'Macro Regime Monitor'!$A$6:A$27)</f>
        <v>South Korea</v>
      </c>
      <c r="AE10" s="114" t="str">
        <f>_xlfn.XLOOKUP('Ticker Map'!F7,'Macro Regime Monitor'!$AB$6:$AB$27,'Macro Regime Monitor'!$A$6:$A$27)</f>
        <v>India</v>
      </c>
      <c r="AK10" s="88">
        <f t="shared" si="7"/>
        <v>62.797619047619044</v>
      </c>
      <c r="AL10" s="88">
        <f t="shared" si="8"/>
        <v>68.750000000000043</v>
      </c>
      <c r="AM10" s="88">
        <f t="shared" si="9"/>
        <v>32.954545454545531</v>
      </c>
      <c r="AO10" s="88">
        <f t="shared" si="10"/>
        <v>8.707607699358384</v>
      </c>
      <c r="AP10" s="88">
        <f t="shared" si="11"/>
        <v>94.063759618908023</v>
      </c>
      <c r="AR10" s="88">
        <f t="shared" si="12"/>
        <v>86.016484377448364</v>
      </c>
      <c r="AS10" s="88">
        <f t="shared" si="13"/>
        <v>90.429077275567579</v>
      </c>
      <c r="AT10" s="88">
        <f t="shared" si="14"/>
        <v>8.5877477438576442</v>
      </c>
      <c r="AU10">
        <f t="shared" si="15"/>
        <v>94.170596955784916</v>
      </c>
      <c r="AV10">
        <f t="shared" si="16"/>
        <v>13.983515622551629</v>
      </c>
      <c r="AX10" s="88">
        <f t="shared" si="17"/>
        <v>38.313439258308208</v>
      </c>
      <c r="AY10" s="88">
        <f t="shared" si="18"/>
        <v>54.195534675876466</v>
      </c>
      <c r="AZ10" s="102">
        <f t="shared" si="19"/>
        <v>94.913772590270497</v>
      </c>
    </row>
    <row r="11" spans="1:52" ht="15.75" thickBot="1" x14ac:dyDescent="0.3">
      <c r="A11" s="13" t="s">
        <v>38</v>
      </c>
      <c r="B11" s="10">
        <f>_xlfn.XLOOKUP($A11,'Master Raw Data'!$A:$A,'Master Raw Data'!$B:$B)</f>
        <v>101</v>
      </c>
      <c r="C11" s="10">
        <f>_xlfn.XLOOKUP(A11,'Master Raw Data'!$A:$A,'Master Raw Data'!$B:$B)-_xlfn.XLOOKUP('Macro Regime Monitor'!A11,'Master Raw Data'!$A:$A,'Master Raw Data'!$C:$C)</f>
        <v>0</v>
      </c>
      <c r="D11" s="10">
        <f>_xlfn.XLOOKUP($A11,'Master Raw Data'!$A:$A,'Master Raw Data'!$D:$D)</f>
        <v>0.4</v>
      </c>
      <c r="E11" s="10">
        <f>_xlfn.XLOOKUP($A11,'Master Raw Data'!$A:$A,'Master Raw Data'!$D:$D)-_xlfn.XLOOKUP('Macro Regime Monitor'!$A11,'Master Raw Data'!$A:$A,'Master Raw Data'!$E:$E)</f>
        <v>0.2</v>
      </c>
      <c r="F11" s="10">
        <f>_xlfn.XLOOKUP($A11,'Master Raw Data'!$A:$A,'Master Raw Data'!$F:$F)</f>
        <v>3</v>
      </c>
      <c r="G11" s="10">
        <f>_xlfn.XLOOKUP($A11,'Master Raw Data'!$A:$A,'Master Raw Data'!$F:$F)-_xlfn.XLOOKUP('Macro Regime Monitor'!$A11,'Master Raw Data'!$A:$A,'Master Raw Data'!$G:$G)</f>
        <v>-0.10000000000000009</v>
      </c>
      <c r="H11" s="10">
        <f>_xlfn.XLOOKUP($A11,'Master Raw Data'!$A:$A,'Master Raw Data'!$H:$H)</f>
        <v>57.3</v>
      </c>
      <c r="I11" s="10">
        <f>_xlfn.XLOOKUP($A11,'Master Raw Data'!$A:$A,'Master Raw Data'!$H:$H)-_xlfn.XLOOKUP('Macro Regime Monitor'!$A11,'Master Raw Data'!$A:$A,'Master Raw Data'!$I:$I)</f>
        <v>2.7999999999999972</v>
      </c>
      <c r="J11" s="25">
        <f>_xlfn.XLOOKUP($A11,'Master Raw Data'!$A:$A,'Master Raw Data'!$J:$J)</f>
        <v>0</v>
      </c>
      <c r="K11" s="25">
        <f>_xlfn.XLOOKUP($A11,'Master Raw Data'!$A:$A,'Master Raw Data'!$K:$K)</f>
        <v>-0.6</v>
      </c>
      <c r="L11" s="25">
        <f>ABS(_xlfn.XLOOKUP($A11,'Master Raw Data'!$A:$A,'Master Raw Data'!$Q:$Q))</f>
        <v>1.4</v>
      </c>
      <c r="M11" s="25">
        <f>_xlfn.XLOOKUP($A11,'Master Raw Data'!$A:$A,'Master Raw Data'!$R:$R)</f>
        <v>0</v>
      </c>
      <c r="N11" s="26">
        <f>_xlfn.XLOOKUP($A11,'Master Raw Data'!$A:$A,'Master Raw Data'!$T:$T)</f>
        <v>0.43099999999999999</v>
      </c>
      <c r="O11" s="26">
        <f>_xlfn.XLOOKUP($A11,'Master Raw Data'!$A:$A,'Master Raw Data'!$T:$T)-_xlfn.XLOOKUP('Macro Regime Monitor'!$A11,'Master Raw Data'!$A:$A,'Master Raw Data'!$U:$U)</f>
        <v>0.307</v>
      </c>
      <c r="P11" s="92">
        <f>('Master Raw Data'!$V8/'Master Raw Data'!$X8)-1</f>
        <v>9.4085719345601726E-2</v>
      </c>
      <c r="Q11" s="89">
        <f>('Master Raw Data'!$Y8/'Master Raw Data'!$AA8)-1</f>
        <v>-2.1646080469609807E-2</v>
      </c>
      <c r="R11" s="92">
        <f>_xlfn.XLOOKUP($A11,'Master Raw Data'!$A:$A,'Master Raw Data'!$AB:$AB)</f>
        <v>4.109</v>
      </c>
      <c r="S11" s="97">
        <f>('Master Raw Data'!$V8/'Master Raw Data'!$W8)-1</f>
        <v>3.5549425611108632E-2</v>
      </c>
      <c r="T11" s="94">
        <f>('Master Raw Data'!$Y8/'Master Raw Data'!$Z8)-1</f>
        <v>1.5228426395939021E-2</v>
      </c>
      <c r="U11" s="97">
        <f t="shared" si="1"/>
        <v>5.0777852007047652E-2</v>
      </c>
      <c r="V11" s="81" t="s">
        <v>57</v>
      </c>
      <c r="W11" s="87">
        <f t="shared" si="2"/>
        <v>77.931096681096676</v>
      </c>
      <c r="X11" s="86">
        <f t="shared" si="3"/>
        <v>48.498121980735149</v>
      </c>
      <c r="Y11" s="101">
        <f t="shared" si="20"/>
        <v>54.686124111884553</v>
      </c>
      <c r="Z11" s="101">
        <f t="shared" si="0"/>
        <v>53.736970240872367</v>
      </c>
      <c r="AA11" s="111">
        <f t="shared" si="4"/>
        <v>59.922784575658397</v>
      </c>
      <c r="AB11" s="32">
        <f t="shared" si="5"/>
        <v>7</v>
      </c>
      <c r="AC11" s="32" t="str">
        <f t="shared" si="6"/>
        <v>Late Cycle</v>
      </c>
      <c r="AK11" s="88">
        <f t="shared" si="7"/>
        <v>74.702380952380949</v>
      </c>
      <c r="AL11" s="88">
        <f t="shared" si="8"/>
        <v>87.5</v>
      </c>
      <c r="AM11" s="88">
        <f t="shared" si="9"/>
        <v>71.590909090909079</v>
      </c>
      <c r="AO11" s="88">
        <f t="shared" si="10"/>
        <v>1.833180568285979</v>
      </c>
      <c r="AP11" s="88">
        <f t="shared" si="11"/>
        <v>95.163063393184316</v>
      </c>
      <c r="AR11" s="88">
        <f t="shared" si="12"/>
        <v>100</v>
      </c>
      <c r="AS11" s="88">
        <f t="shared" si="13"/>
        <v>89.950010414496987</v>
      </c>
      <c r="AT11" s="88">
        <f t="shared" si="14"/>
        <v>11.510649871406354</v>
      </c>
      <c r="AU11">
        <f t="shared" si="15"/>
        <v>71.969960273519419</v>
      </c>
      <c r="AV11">
        <f t="shared" si="16"/>
        <v>0</v>
      </c>
      <c r="AX11" s="88">
        <f t="shared" si="17"/>
        <v>40.286570135494649</v>
      </c>
      <c r="AY11" s="88">
        <f t="shared" si="18"/>
        <v>48.554422646153078</v>
      </c>
      <c r="AZ11" s="102">
        <f t="shared" si="19"/>
        <v>91.002865641066364</v>
      </c>
    </row>
    <row r="12" spans="1:52" ht="15.75" thickBot="1" x14ac:dyDescent="0.3">
      <c r="A12" s="13" t="s">
        <v>40</v>
      </c>
      <c r="B12" s="10">
        <f>_xlfn.XLOOKUP($A12,'Master Raw Data'!$A:$A,'Master Raw Data'!$B:$B)</f>
        <v>103</v>
      </c>
      <c r="C12" s="10">
        <f>_xlfn.XLOOKUP(A12,'Master Raw Data'!$A:$A,'Master Raw Data'!$B:$B)-_xlfn.XLOOKUP('Macro Regime Monitor'!A12,'Master Raw Data'!$A:$A,'Master Raw Data'!$C:$C)</f>
        <v>1</v>
      </c>
      <c r="D12" s="10">
        <f>_xlfn.XLOOKUP($A12,'Master Raw Data'!$A:$A,'Master Raw Data'!$D:$D)</f>
        <v>0.4</v>
      </c>
      <c r="E12" s="10">
        <f>_xlfn.XLOOKUP($A12,'Master Raw Data'!$A:$A,'Master Raw Data'!$D:$D)-_xlfn.XLOOKUP('Macro Regime Monitor'!$A12,'Master Raw Data'!$A:$A,'Master Raw Data'!$E:$E)</f>
        <v>1</v>
      </c>
      <c r="F12" s="10">
        <f>_xlfn.XLOOKUP($A12,'Master Raw Data'!$A:$A,'Master Raw Data'!$F:$F)</f>
        <v>4.5999999999999996</v>
      </c>
      <c r="G12" s="10">
        <f>_xlfn.XLOOKUP($A12,'Master Raw Data'!$A:$A,'Master Raw Data'!$F:$F)-_xlfn.XLOOKUP('Macro Regime Monitor'!$A12,'Master Raw Data'!$A:$A,'Master Raw Data'!$G:$G)</f>
        <v>-0.30000000000000071</v>
      </c>
      <c r="H12" s="10">
        <f>_xlfn.XLOOKUP($A12,'Master Raw Data'!$A:$A,'Master Raw Data'!$H:$H)</f>
        <v>53</v>
      </c>
      <c r="I12" s="10">
        <f>_xlfn.XLOOKUP($A12,'Master Raw Data'!$A:$A,'Master Raw Data'!$H:$H)-_xlfn.XLOOKUP('Macro Regime Monitor'!$A12,'Master Raw Data'!$A:$A,'Master Raw Data'!$I:$I)</f>
        <v>5.2999999999999972</v>
      </c>
      <c r="J12" s="25">
        <f>_xlfn.XLOOKUP($A12,'Master Raw Data'!$A:$A,'Master Raw Data'!$J:$J)</f>
        <v>4.25</v>
      </c>
      <c r="K12" s="25">
        <f>_xlfn.XLOOKUP($A12,'Master Raw Data'!$A:$A,'Master Raw Data'!$K:$K)</f>
        <v>0.85000000000000009</v>
      </c>
      <c r="L12" s="25">
        <f>ABS(_xlfn.XLOOKUP($A12,'Master Raw Data'!$A:$A,'Master Raw Data'!$Q:$Q))</f>
        <v>1.4</v>
      </c>
      <c r="M12" s="25">
        <f>_xlfn.XLOOKUP($A12,'Master Raw Data'!$A:$A,'Master Raw Data'!$R:$R)</f>
        <v>0.25</v>
      </c>
      <c r="N12" s="26">
        <f>_xlfn.XLOOKUP($A12,'Master Raw Data'!$A:$A,'Master Raw Data'!$T:$T)</f>
        <v>4.41</v>
      </c>
      <c r="O12" s="26">
        <f>_xlfn.XLOOKUP($A12,'Master Raw Data'!$A:$A,'Master Raw Data'!$T:$T)-_xlfn.XLOOKUP('Macro Regime Monitor'!$A12,'Master Raw Data'!$A:$A,'Master Raw Data'!$U:$U)</f>
        <v>-0.19399999999999995</v>
      </c>
      <c r="P12" s="92">
        <f>('Master Raw Data'!$V9/'Master Raw Data'!$X9)-1</f>
        <v>0.29870622276914904</v>
      </c>
      <c r="Q12" s="89">
        <f>('Master Raw Data'!$Y9/'Master Raw Data'!$AA9)-1</f>
        <v>-6.2766684156857155E-2</v>
      </c>
      <c r="R12" s="92">
        <f>_xlfn.XLOOKUP($A12,'Master Raw Data'!$A:$A,'Master Raw Data'!$AB:$AB)</f>
        <v>0.12999999999999989</v>
      </c>
      <c r="S12" s="97">
        <f>('Master Raw Data'!$V9/'Master Raw Data'!$W9)-1</f>
        <v>5.4894883861660748E-2</v>
      </c>
      <c r="T12" s="94">
        <f>('Master Raw Data'!$Y9/'Master Raw Data'!$Z9)-1</f>
        <v>-2.1326965223503969E-2</v>
      </c>
      <c r="U12" s="97">
        <f t="shared" si="1"/>
        <v>7.6221849085164717E-2</v>
      </c>
      <c r="V12" s="81" t="s">
        <v>57</v>
      </c>
      <c r="W12" s="87">
        <f t="shared" si="2"/>
        <v>95.535714285714278</v>
      </c>
      <c r="X12" s="86">
        <f t="shared" si="3"/>
        <v>55.143401540771812</v>
      </c>
      <c r="Y12" s="101">
        <f t="shared" si="20"/>
        <v>58.756305377258606</v>
      </c>
      <c r="Z12" s="101">
        <f>(0.4*$AX12)+(0.4*$AY12)+(0.2*$AZ12)</f>
        <v>71.8674120956737</v>
      </c>
      <c r="AA12" s="111">
        <f t="shared" si="4"/>
        <v>71.509123434356624</v>
      </c>
      <c r="AB12" s="32">
        <f t="shared" si="5"/>
        <v>1</v>
      </c>
      <c r="AC12" s="32" t="str">
        <f t="shared" si="6"/>
        <v>Expansion</v>
      </c>
      <c r="AK12" s="88">
        <f t="shared" si="7"/>
        <v>86.607142857142847</v>
      </c>
      <c r="AL12" s="88">
        <f t="shared" si="8"/>
        <v>100</v>
      </c>
      <c r="AM12" s="88">
        <f t="shared" si="9"/>
        <v>100</v>
      </c>
      <c r="AO12" s="88">
        <f t="shared" si="10"/>
        <v>15.123739688359306</v>
      </c>
      <c r="AP12" s="88">
        <f t="shared" si="11"/>
        <v>95.163063393184316</v>
      </c>
      <c r="AR12" s="88">
        <f t="shared" si="12"/>
        <v>87.530163903600865</v>
      </c>
      <c r="AS12" s="88">
        <f t="shared" si="13"/>
        <v>84.732347427619246</v>
      </c>
      <c r="AT12" s="88">
        <f t="shared" si="14"/>
        <v>20.954713218030498</v>
      </c>
      <c r="AU12">
        <f t="shared" si="15"/>
        <v>88.094466240643285</v>
      </c>
      <c r="AV12">
        <f t="shared" si="16"/>
        <v>12.469836096399133</v>
      </c>
      <c r="AX12" s="88">
        <f t="shared" si="17"/>
        <v>43.040620436266039</v>
      </c>
      <c r="AY12" s="88">
        <f t="shared" si="18"/>
        <v>93.828358510032061</v>
      </c>
      <c r="AZ12" s="102">
        <f t="shared" si="19"/>
        <v>85.599102585772329</v>
      </c>
    </row>
    <row r="13" spans="1:52" ht="15.75" customHeight="1" thickBot="1" x14ac:dyDescent="0.3">
      <c r="A13" s="14" t="s">
        <v>41</v>
      </c>
      <c r="B13" s="10">
        <f>_xlfn.XLOOKUP($A13,'Master Raw Data'!$A:$A,'Master Raw Data'!$B:$B)</f>
        <v>168</v>
      </c>
      <c r="C13" s="10">
        <f>_xlfn.XLOOKUP(A13,'Master Raw Data'!$A:$A,'Master Raw Data'!$B:$B)-_xlfn.XLOOKUP('Macro Regime Monitor'!A13,'Master Raw Data'!$A:$A,'Master Raw Data'!$C:$C)</f>
        <v>1</v>
      </c>
      <c r="D13" s="10">
        <f>_xlfn.XLOOKUP($A13,'Master Raw Data'!$A:$A,'Master Raw Data'!$D:$D)</f>
        <v>0</v>
      </c>
      <c r="E13" s="10">
        <f>_xlfn.XLOOKUP($A13,'Master Raw Data'!$A:$A,'Master Raw Data'!$D:$D)-_xlfn.XLOOKUP('Macro Regime Monitor'!$A13,'Master Raw Data'!$A:$A,'Master Raw Data'!$E:$E)</f>
        <v>0.2</v>
      </c>
      <c r="F13" s="10">
        <f>_xlfn.XLOOKUP($A13,'Master Raw Data'!$A:$A,'Master Raw Data'!$F:$F)</f>
        <v>6.9</v>
      </c>
      <c r="G13" s="10">
        <f>_xlfn.XLOOKUP($A13,'Master Raw Data'!$A:$A,'Master Raw Data'!$F:$F)-_xlfn.XLOOKUP('Macro Regime Monitor'!$A13,'Master Raw Data'!$A:$A,'Master Raw Data'!$G:$G)</f>
        <v>0.20000000000000018</v>
      </c>
      <c r="H13" s="10">
        <f>_xlfn.XLOOKUP($A13,'Master Raw Data'!$A:$A,'Master Raw Data'!$H:$H)</f>
        <v>52.9</v>
      </c>
      <c r="I13" s="10">
        <f>_xlfn.XLOOKUP($A13,'Master Raw Data'!$A:$A,'Master Raw Data'!$H:$H)-_xlfn.XLOOKUP('Macro Regime Monitor'!$A13,'Master Raw Data'!$A:$A,'Master Raw Data'!$I:$I)</f>
        <v>-0.39999999999999858</v>
      </c>
      <c r="J13" s="25">
        <f>_xlfn.XLOOKUP($A13,'Master Raw Data'!$A:$A,'Master Raw Data'!$J:$J)</f>
        <v>2.25</v>
      </c>
      <c r="K13" s="25">
        <f>_xlfn.XLOOKUP($A13,'Master Raw Data'!$A:$A,'Master Raw Data'!$K:$K)</f>
        <v>-0.54999999999999982</v>
      </c>
      <c r="L13" s="25">
        <f>ABS(_xlfn.XLOOKUP($A13,'Master Raw Data'!$A:$A,'Master Raw Data'!$Q:$Q))</f>
        <v>0.79999999999999982</v>
      </c>
      <c r="M13" s="25">
        <f>_xlfn.XLOOKUP($A13,'Master Raw Data'!$A:$A,'Master Raw Data'!$R:$R)</f>
        <v>0</v>
      </c>
      <c r="N13" s="26">
        <f>_xlfn.XLOOKUP($A13,'Master Raw Data'!$A:$A,'Master Raw Data'!$T:$T)</f>
        <v>3.4990000000000001</v>
      </c>
      <c r="O13" s="26">
        <f>_xlfn.XLOOKUP($A13,'Master Raw Data'!$A:$A,'Master Raw Data'!$T:$T)-_xlfn.XLOOKUP('Macro Regime Monitor'!$A13,'Master Raw Data'!$A:$A,'Master Raw Data'!$U:$U)</f>
        <v>0.64100000000000001</v>
      </c>
      <c r="P13" s="92">
        <f>('Master Raw Data'!$V10/'Master Raw Data'!$X10)-1</f>
        <v>0.30716477782553286</v>
      </c>
      <c r="Q13" s="89">
        <f>('Master Raw Data'!$Y10/'Master Raw Data'!$AA10)-1</f>
        <v>1.5139384234660547E-2</v>
      </c>
      <c r="R13" s="92">
        <f>_xlfn.XLOOKUP($A13,'Master Raw Data'!$A:$A,'Master Raw Data'!$AB:$AB)</f>
        <v>1.0409999999999999</v>
      </c>
      <c r="S13" s="97">
        <f>('Master Raw Data'!$V10/'Master Raw Data'!$W10)-1</f>
        <v>6.5441784284261173E-2</v>
      </c>
      <c r="T13" s="94">
        <f>('Master Raw Data'!$Y10/'Master Raw Data'!$Z10)-1</f>
        <v>1.9219526454253177E-2</v>
      </c>
      <c r="U13" s="97">
        <f t="shared" si="1"/>
        <v>8.466131073851435E-2</v>
      </c>
      <c r="V13" s="81" t="s">
        <v>57</v>
      </c>
      <c r="W13" s="87">
        <f t="shared" si="2"/>
        <v>59.55988455988458</v>
      </c>
      <c r="X13" s="86">
        <f t="shared" si="3"/>
        <v>49.826573326047182</v>
      </c>
      <c r="Y13" s="101">
        <f t="shared" si="20"/>
        <v>54.463788443908889</v>
      </c>
      <c r="Z13" s="101">
        <f t="shared" ref="Z13:Z27" si="21">(0.4*$AX13)+(0.4*$AY13)+(0.2*$AZ13)</f>
        <v>52.022760188744648</v>
      </c>
      <c r="AA13" s="111">
        <f t="shared" si="4"/>
        <v>54.34510784820332</v>
      </c>
      <c r="AB13" s="32">
        <f t="shared" si="5"/>
        <v>14</v>
      </c>
      <c r="AC13" s="32" t="str">
        <f t="shared" si="6"/>
        <v>Neutral</v>
      </c>
      <c r="AK13" s="88">
        <f t="shared" si="7"/>
        <v>74.702380952380949</v>
      </c>
      <c r="AL13" s="88">
        <f t="shared" si="8"/>
        <v>68.750000000000043</v>
      </c>
      <c r="AM13" s="88">
        <f t="shared" si="9"/>
        <v>35.227272727272755</v>
      </c>
      <c r="AO13" s="88">
        <f t="shared" si="10"/>
        <v>2.2914757103574743</v>
      </c>
      <c r="AP13" s="88">
        <f t="shared" si="11"/>
        <v>97.36167094173689</v>
      </c>
      <c r="AR13" s="88">
        <f t="shared" si="12"/>
        <v>90.385157792472341</v>
      </c>
      <c r="AS13" s="88">
        <f t="shared" si="13"/>
        <v>93.4284524057488</v>
      </c>
      <c r="AT13" s="88">
        <f t="shared" si="14"/>
        <v>21.34510972491449</v>
      </c>
      <c r="AU13">
        <f t="shared" si="15"/>
        <v>57.545380088881146</v>
      </c>
      <c r="AV13">
        <f t="shared" si="16"/>
        <v>9.6148422075276549</v>
      </c>
      <c r="AX13" s="88">
        <f t="shared" si="17"/>
        <v>44.54209400721335</v>
      </c>
      <c r="AY13" s="88">
        <f t="shared" si="18"/>
        <v>43.611436124560669</v>
      </c>
      <c r="AZ13" s="102">
        <f t="shared" si="19"/>
        <v>83.806740680175196</v>
      </c>
    </row>
    <row r="14" spans="1:52" ht="15.75" customHeight="1" thickBot="1" x14ac:dyDescent="0.3">
      <c r="A14" s="2" t="s">
        <v>43</v>
      </c>
      <c r="B14" s="10"/>
      <c r="C14" s="10"/>
      <c r="D14" s="10"/>
      <c r="E14" s="10"/>
      <c r="F14" s="10"/>
      <c r="G14" s="10"/>
      <c r="H14" s="10"/>
      <c r="I14" s="10"/>
      <c r="J14" s="25"/>
      <c r="K14" s="25"/>
      <c r="L14" s="25"/>
      <c r="M14" s="25"/>
      <c r="N14" s="26"/>
      <c r="O14" s="26"/>
      <c r="P14" s="93"/>
      <c r="Q14" s="90"/>
      <c r="R14" s="92"/>
      <c r="S14" s="98"/>
      <c r="T14" s="95"/>
      <c r="U14" s="98"/>
      <c r="V14" s="81"/>
      <c r="W14" s="87"/>
      <c r="X14" s="86"/>
      <c r="Y14" s="101"/>
      <c r="Z14" s="101"/>
      <c r="AA14" s="111"/>
      <c r="AB14" s="32"/>
      <c r="AC14" s="32"/>
      <c r="AK14" s="88"/>
      <c r="AL14" s="88"/>
      <c r="AM14" s="88"/>
      <c r="AO14" s="88"/>
      <c r="AP14" s="88"/>
      <c r="AR14" s="88"/>
      <c r="AS14" s="88"/>
      <c r="AT14" s="88"/>
      <c r="AX14" s="88"/>
      <c r="AY14" s="88"/>
      <c r="AZ14" s="102"/>
    </row>
    <row r="15" spans="1:52" ht="15.75" thickBot="1" x14ac:dyDescent="0.3">
      <c r="A15" s="15" t="s">
        <v>44</v>
      </c>
      <c r="B15" s="10">
        <f>_xlfn.XLOOKUP($A15,'Master Raw Data'!$A:$A,'Master Raw Data'!$B:$B)</f>
        <v>101</v>
      </c>
      <c r="C15" s="10">
        <f>_xlfn.XLOOKUP(A15,'Master Raw Data'!$A:$A,'Master Raw Data'!$B:$B)-_xlfn.XLOOKUP('Macro Regime Monitor'!A15,'Master Raw Data'!$A:$A,'Master Raw Data'!$C:$C)</f>
        <v>0</v>
      </c>
      <c r="D15" s="10">
        <f>_xlfn.XLOOKUP($A15,'Master Raw Data'!$A:$A,'Master Raw Data'!$D:$D)</f>
        <v>1.3</v>
      </c>
      <c r="E15" s="10">
        <f>_xlfn.XLOOKUP($A15,'Master Raw Data'!$A:$A,'Master Raw Data'!$D:$D)-_xlfn.XLOOKUP('Macro Regime Monitor'!$A15,'Master Raw Data'!$A:$A,'Master Raw Data'!$E:$E)</f>
        <v>0.10000000000000009</v>
      </c>
      <c r="F15" s="10">
        <f>_xlfn.XLOOKUP($A15,'Master Raw Data'!$A:$A,'Master Raw Data'!$F:$F)</f>
        <v>5.2</v>
      </c>
      <c r="G15" s="10">
        <f>_xlfn.XLOOKUP($A15,'Master Raw Data'!$A:$A,'Master Raw Data'!$F:$F)-_xlfn.XLOOKUP('Macro Regime Monitor'!$A15,'Master Raw Data'!$A:$A,'Master Raw Data'!$G:$G)</f>
        <v>-0.20000000000000018</v>
      </c>
      <c r="H15" s="10">
        <f>_xlfn.XLOOKUP($A15,'Master Raw Data'!$A:$A,'Master Raw Data'!$H:$H)</f>
        <v>51.8</v>
      </c>
      <c r="I15" s="10">
        <f>_xlfn.XLOOKUP($A15,'Master Raw Data'!$A:$A,'Master Raw Data'!$H:$H)-_xlfn.XLOOKUP('Macro Regime Monitor'!$A15,'Master Raw Data'!$A:$A,'Master Raw Data'!$I:$I)</f>
        <v>-0.40000000000000568</v>
      </c>
      <c r="J15" s="25">
        <f>_xlfn.XLOOKUP($A15,'Master Raw Data'!$A:$A,'Master Raw Data'!$J:$J)</f>
        <v>3</v>
      </c>
      <c r="K15" s="25">
        <f>_xlfn.XLOOKUP($A15,'Master Raw Data'!$A:$A,'Master Raw Data'!$K:$K)</f>
        <v>1.8</v>
      </c>
      <c r="L15" s="25">
        <f>ABS(_xlfn.XLOOKUP($A15,'Master Raw Data'!$A:$A,'Master Raw Data'!$Q:$Q))</f>
        <v>1.8</v>
      </c>
      <c r="M15" s="25">
        <f>_xlfn.XLOOKUP($A15,'Master Raw Data'!$A:$A,'Master Raw Data'!$R:$R)</f>
        <v>0</v>
      </c>
      <c r="N15" s="26">
        <f>_xlfn.XLOOKUP($A15,'Master Raw Data'!$A:$A,'Master Raw Data'!$T:$T)</f>
        <v>1.7490000000000001</v>
      </c>
      <c r="O15" s="26">
        <f>_xlfn.XLOOKUP($A15,'Master Raw Data'!$A:$A,'Master Raw Data'!$T:$T)-_xlfn.XLOOKUP('Macro Regime Monitor'!$A15,'Master Raw Data'!$A:$A,'Master Raw Data'!$U:$U)</f>
        <v>0.47900000000000009</v>
      </c>
      <c r="P15" s="92">
        <f>('Master Raw Data'!$V12/'Master Raw Data'!$X12)-1</f>
        <v>0.24401923843103135</v>
      </c>
      <c r="Q15" s="90">
        <f>('Master Raw Data'!$Y12/'Master Raw Data'!$AA12)-1</f>
        <v>-5.7804674457428984E-2</v>
      </c>
      <c r="R15" s="92">
        <f>_xlfn.XLOOKUP($A15,'Master Raw Data'!$A:$A,'Master Raw Data'!$AB:$AB)</f>
        <v>2.7909999999999999</v>
      </c>
      <c r="S15" s="99">
        <f>('Master Raw Data'!$V12/'Master Raw Data'!$W12)-1</f>
        <v>1.9148554898497094E-2</v>
      </c>
      <c r="T15" s="96">
        <f>('Master Raw Data'!$Y12/'Master Raw Data'!$Z12)-1</f>
        <v>-2.6310114298037535E-2</v>
      </c>
      <c r="U15" s="99">
        <f>ABS($S15)+ABS($T15)</f>
        <v>4.5458669196534629E-2</v>
      </c>
      <c r="V15" s="81" t="s">
        <v>57</v>
      </c>
      <c r="W15" s="87">
        <f t="shared" si="2"/>
        <v>67.397186147186119</v>
      </c>
      <c r="X15" s="86">
        <f t="shared" si="3"/>
        <v>58.764336207600138</v>
      </c>
      <c r="Y15" s="101">
        <f t="shared" si="20"/>
        <v>59.264143829791841</v>
      </c>
      <c r="Z15" s="101">
        <f t="shared" si="21"/>
        <v>73.60719576146343</v>
      </c>
      <c r="AA15" s="111">
        <f t="shared" si="4"/>
        <v>64.44771500579651</v>
      </c>
      <c r="AB15" s="32">
        <f t="shared" si="5"/>
        <v>3</v>
      </c>
      <c r="AC15" s="32" t="str">
        <f t="shared" si="6"/>
        <v>Expansion</v>
      </c>
      <c r="AK15" s="88">
        <f t="shared" si="7"/>
        <v>73.214285714285708</v>
      </c>
      <c r="AL15" s="88">
        <f t="shared" si="8"/>
        <v>93.749999999999986</v>
      </c>
      <c r="AM15" s="88">
        <f t="shared" si="9"/>
        <v>35.227272727272677</v>
      </c>
      <c r="AO15" s="88">
        <f t="shared" si="10"/>
        <v>23.831347387717695</v>
      </c>
      <c r="AP15" s="88">
        <f t="shared" si="11"/>
        <v>93.697325027482577</v>
      </c>
      <c r="AR15" s="88">
        <f t="shared" si="12"/>
        <v>95.86950390172052</v>
      </c>
      <c r="AS15" s="88">
        <f t="shared" si="13"/>
        <v>91.741303895021858</v>
      </c>
      <c r="AT15" s="88">
        <f t="shared" si="14"/>
        <v>18.430687835999347</v>
      </c>
      <c r="AU15">
        <f t="shared" si="15"/>
        <v>86.148727417937977</v>
      </c>
      <c r="AV15">
        <f t="shared" si="16"/>
        <v>4.1304960982794823</v>
      </c>
      <c r="AX15" s="88">
        <f t="shared" si="17"/>
        <v>37.951716014492298</v>
      </c>
      <c r="AY15" s="88">
        <f t="shared" si="18"/>
        <v>100</v>
      </c>
      <c r="AZ15" s="102">
        <f t="shared" si="19"/>
        <v>92.132546778332582</v>
      </c>
    </row>
    <row r="16" spans="1:52" ht="15.75" thickBot="1" x14ac:dyDescent="0.3">
      <c r="A16" s="16" t="s">
        <v>46</v>
      </c>
      <c r="B16" s="10">
        <f>_xlfn.XLOOKUP($A16,'Master Raw Data'!$A:$A,'Master Raw Data'!$B:$B)</f>
        <v>105</v>
      </c>
      <c r="C16" s="10">
        <f>_xlfn.XLOOKUP(A16,'Master Raw Data'!$A:$A,'Master Raw Data'!$B:$B)-_xlfn.XLOOKUP('Macro Regime Monitor'!A16,'Master Raw Data'!$A:$A,'Master Raw Data'!$C:$C)</f>
        <v>0</v>
      </c>
      <c r="D16" s="10">
        <f>_xlfn.XLOOKUP($A16,'Master Raw Data'!$A:$A,'Master Raw Data'!$D:$D)</f>
        <v>1.8</v>
      </c>
      <c r="E16" s="10">
        <f>_xlfn.XLOOKUP($A16,'Master Raw Data'!$A:$A,'Master Raw Data'!$D:$D)-_xlfn.XLOOKUP('Macro Regime Monitor'!$A16,'Master Raw Data'!$A:$A,'Master Raw Data'!$E:$E)</f>
        <v>-0.30000000000000004</v>
      </c>
      <c r="F16" s="10">
        <f>_xlfn.XLOOKUP($A16,'Master Raw Data'!$A:$A,'Master Raw Data'!$F:$F)</f>
        <v>5.2</v>
      </c>
      <c r="G16" s="10">
        <f>_xlfn.XLOOKUP($A16,'Master Raw Data'!$A:$A,'Master Raw Data'!$F:$F)-_xlfn.XLOOKUP('Macro Regime Monitor'!$A16,'Master Raw Data'!$A:$A,'Master Raw Data'!$G:$G)</f>
        <v>0.10000000000000053</v>
      </c>
      <c r="H16" s="10">
        <f>_xlfn.XLOOKUP($A16,'Master Raw Data'!$A:$A,'Master Raw Data'!$H:$H)</f>
        <v>55</v>
      </c>
      <c r="I16" s="10">
        <f>_xlfn.XLOOKUP($A16,'Master Raw Data'!$A:$A,'Master Raw Data'!$H:$H)-_xlfn.XLOOKUP('Macro Regime Monitor'!$A16,'Master Raw Data'!$A:$A,'Master Raw Data'!$I:$I)</f>
        <v>0.29999999999999716</v>
      </c>
      <c r="J16" s="25">
        <f>_xlfn.XLOOKUP($A16,'Master Raw Data'!$A:$A,'Master Raw Data'!$J:$J)</f>
        <v>5.25</v>
      </c>
      <c r="K16" s="25">
        <f>_xlfn.XLOOKUP($A16,'Master Raw Data'!$A:$A,'Master Raw Data'!$K:$K)</f>
        <v>1.77</v>
      </c>
      <c r="L16" s="25">
        <f>ABS(_xlfn.XLOOKUP($A16,'Master Raw Data'!$A:$A,'Master Raw Data'!$Q:$Q))</f>
        <v>0.52</v>
      </c>
      <c r="M16" s="25">
        <f>_xlfn.XLOOKUP($A16,'Master Raw Data'!$A:$A,'Master Raw Data'!$R:$R)</f>
        <v>0</v>
      </c>
      <c r="N16" s="26">
        <f>_xlfn.XLOOKUP($A16,'Master Raw Data'!$A:$A,'Master Raw Data'!$T:$T)</f>
        <v>6.9130000000000003</v>
      </c>
      <c r="O16" s="26">
        <f>_xlfn.XLOOKUP($A16,'Master Raw Data'!$A:$A,'Master Raw Data'!$T:$T)-_xlfn.XLOOKUP('Macro Regime Monitor'!$A16,'Master Raw Data'!$A:$A,'Master Raw Data'!$U:$U)</f>
        <v>0.65500000000000025</v>
      </c>
      <c r="P16" s="92">
        <f>('Master Raw Data'!$V13/'Master Raw Data'!$X13)-1</f>
        <v>-4.8390159549753786E-2</v>
      </c>
      <c r="Q16" s="90">
        <f>('Master Raw Data'!$Y13/'Master Raw Data'!$AA13)-1</f>
        <v>0.10469125193606388</v>
      </c>
      <c r="R16" s="92">
        <f>_xlfn.XLOOKUP($A16,'Master Raw Data'!$A:$A,'Master Raw Data'!$AB:$AB)</f>
        <v>-2.3730000000000002</v>
      </c>
      <c r="S16" s="99">
        <f>('Master Raw Data'!$V13/'Master Raw Data'!$W13)-1</f>
        <v>-2.9198404062386607E-2</v>
      </c>
      <c r="T16" s="96">
        <f>('Master Raw Data'!$Y13/'Master Raw Data'!$Z13)-1</f>
        <v>3.6429363250099822E-2</v>
      </c>
      <c r="U16" s="99">
        <f t="shared" ref="U16:U19" si="22">ABS($S16)+ABS($T16)</f>
        <v>6.5627767312486429E-2</v>
      </c>
      <c r="V16" s="81" t="s">
        <v>57</v>
      </c>
      <c r="W16" s="87">
        <f t="shared" si="2"/>
        <v>61.814574314574308</v>
      </c>
      <c r="X16" s="86">
        <f t="shared" si="3"/>
        <v>60.97202905010144</v>
      </c>
      <c r="Y16" s="101">
        <f t="shared" si="20"/>
        <v>44.187745423485168</v>
      </c>
      <c r="Z16" s="100">
        <f t="shared" si="21"/>
        <v>38.916203910348663</v>
      </c>
      <c r="AA16" s="111">
        <f t="shared" si="4"/>
        <v>52.617556694838676</v>
      </c>
      <c r="AB16" s="32">
        <f t="shared" si="5"/>
        <v>15</v>
      </c>
      <c r="AC16" s="32" t="str">
        <f t="shared" si="6"/>
        <v>Stress</v>
      </c>
      <c r="AK16" s="88">
        <f t="shared" si="7"/>
        <v>67.261904761904773</v>
      </c>
      <c r="AL16" s="88">
        <f t="shared" si="8"/>
        <v>75</v>
      </c>
      <c r="AM16" s="88">
        <f t="shared" si="9"/>
        <v>43.181818181818166</v>
      </c>
      <c r="AO16" s="88">
        <f t="shared" si="10"/>
        <v>23.556370302474797</v>
      </c>
      <c r="AP16" s="88">
        <f t="shared" si="11"/>
        <v>98.387687797728091</v>
      </c>
      <c r="AR16" s="88">
        <f t="shared" si="12"/>
        <v>79.685982011344763</v>
      </c>
      <c r="AS16" s="88">
        <f t="shared" si="13"/>
        <v>93.574255363465952</v>
      </c>
      <c r="AT16" s="88">
        <f t="shared" si="14"/>
        <v>4.9348121467355819</v>
      </c>
      <c r="AU16">
        <f t="shared" si="15"/>
        <v>22.429659607224316</v>
      </c>
      <c r="AV16">
        <f t="shared" si="16"/>
        <v>20.314017988655237</v>
      </c>
      <c r="AX16" s="88">
        <f t="shared" si="17"/>
        <v>31.068965802886233</v>
      </c>
      <c r="AY16" s="88">
        <f t="shared" si="18"/>
        <v>22.297014015933346</v>
      </c>
      <c r="AZ16" s="102">
        <f t="shared" si="19"/>
        <v>87.849059914104146</v>
      </c>
    </row>
    <row r="17" spans="1:52" ht="15.75" thickBot="1" x14ac:dyDescent="0.3">
      <c r="A17" s="16" t="s">
        <v>48</v>
      </c>
      <c r="B17" s="10">
        <f>_xlfn.XLOOKUP($A17,'Master Raw Data'!$A:$A,'Master Raw Data'!$B:$B)</f>
        <v>120</v>
      </c>
      <c r="C17" s="10">
        <f>_xlfn.XLOOKUP(A17,'Master Raw Data'!$A:$A,'Master Raw Data'!$B:$B)-_xlfn.XLOOKUP('Macro Regime Monitor'!A17,'Master Raw Data'!$A:$A,'Master Raw Data'!$C:$C)</f>
        <v>1</v>
      </c>
      <c r="D17" s="10">
        <f>_xlfn.XLOOKUP($A17,'Master Raw Data'!$A:$A,'Master Raw Data'!$D:$D)</f>
        <v>1.7</v>
      </c>
      <c r="E17" s="10">
        <f>_xlfn.XLOOKUP($A17,'Master Raw Data'!$A:$A,'Master Raw Data'!$D:$D)-_xlfn.XLOOKUP('Macro Regime Monitor'!$A17,'Master Raw Data'!$A:$A,'Master Raw Data'!$E:$E)</f>
        <v>1.9</v>
      </c>
      <c r="F17" s="10">
        <f>_xlfn.XLOOKUP($A17,'Master Raw Data'!$A:$A,'Master Raw Data'!$F:$F)</f>
        <v>2.8</v>
      </c>
      <c r="G17" s="10">
        <f>_xlfn.XLOOKUP($A17,'Master Raw Data'!$A:$A,'Master Raw Data'!$F:$F)-_xlfn.XLOOKUP('Macro Regime Monitor'!$A17,'Master Raw Data'!$A:$A,'Master Raw Data'!$G:$G)</f>
        <v>9.9999999999999645E-2</v>
      </c>
      <c r="H17" s="10">
        <f>_xlfn.XLOOKUP($A17,'Master Raw Data'!$A:$A,'Master Raw Data'!$H:$H)</f>
        <v>54.8</v>
      </c>
      <c r="I17" s="10">
        <f>_xlfn.XLOOKUP($A17,'Master Raw Data'!$A:$A,'Master Raw Data'!$H:$H)-_xlfn.XLOOKUP('Macro Regime Monitor'!$A17,'Master Raw Data'!$A:$A,'Master Raw Data'!$I:$I)</f>
        <v>1.1999999999999957</v>
      </c>
      <c r="J17" s="25">
        <f>_xlfn.XLOOKUP($A17,'Master Raw Data'!$A:$A,'Master Raw Data'!$J:$J)</f>
        <v>2.5</v>
      </c>
      <c r="K17" s="25">
        <f>_xlfn.XLOOKUP($A17,'Master Raw Data'!$A:$A,'Master Raw Data'!$K:$K)</f>
        <v>-0.60000000000000009</v>
      </c>
      <c r="L17" s="25">
        <f>ABS(_xlfn.XLOOKUP($A17,'Master Raw Data'!$A:$A,'Master Raw Data'!$Q:$Q))</f>
        <v>1.1000000000000001</v>
      </c>
      <c r="M17" s="25">
        <f>_xlfn.XLOOKUP($A17,'Master Raw Data'!$A:$A,'Master Raw Data'!$R:$R)</f>
        <v>0</v>
      </c>
      <c r="N17" s="26">
        <f>_xlfn.XLOOKUP($A17,'Master Raw Data'!$A:$A,'Master Raw Data'!$T:$T)</f>
        <v>4.2759999999999998</v>
      </c>
      <c r="O17" s="26">
        <f>_xlfn.XLOOKUP($A17,'Master Raw Data'!$A:$A,'Master Raw Data'!$T:$T)-_xlfn.XLOOKUP('Macro Regime Monitor'!$A17,'Master Raw Data'!$A:$A,'Master Raw Data'!$U:$U)</f>
        <v>0.54599999999999982</v>
      </c>
      <c r="P17" s="92">
        <f>('Master Raw Data'!$V14/'Master Raw Data'!$X14)-1</f>
        <v>2.0113468289301508</v>
      </c>
      <c r="Q17" s="90">
        <f>('Master Raw Data'!$Y14/'Master Raw Data'!$AA14)-1</f>
        <v>0.11360599355955214</v>
      </c>
      <c r="R17" s="92">
        <f>_xlfn.XLOOKUP($A17,'Master Raw Data'!$A:$A,'Master Raw Data'!$AB:$AB)</f>
        <v>0.26400000000000023</v>
      </c>
      <c r="S17" s="99">
        <f>('Master Raw Data'!$V14/'Master Raw Data'!$W14)-1</f>
        <v>0.45499843281242991</v>
      </c>
      <c r="T17" s="96">
        <f>('Master Raw Data'!$Y14/'Master Raw Data'!$Z14)-1</f>
        <v>2.4272790161930402E-2</v>
      </c>
      <c r="U17" s="99">
        <f t="shared" si="22"/>
        <v>0.47927122297436031</v>
      </c>
      <c r="V17" s="81" t="s">
        <v>57</v>
      </c>
      <c r="W17" s="87">
        <f t="shared" si="2"/>
        <v>76.13636363636364</v>
      </c>
      <c r="X17" s="86">
        <f t="shared" si="3"/>
        <v>49.047773867873289</v>
      </c>
      <c r="Y17" s="101">
        <f t="shared" si="20"/>
        <v>62.274604478527614</v>
      </c>
      <c r="Z17" s="101">
        <f t="shared" si="21"/>
        <v>54.941183000635554</v>
      </c>
      <c r="AA17" s="111">
        <f t="shared" si="4"/>
        <v>61.659740277636423</v>
      </c>
      <c r="AB17" s="32">
        <f t="shared" si="5"/>
        <v>5</v>
      </c>
      <c r="AC17" s="32" t="str">
        <f t="shared" si="6"/>
        <v>Late Cycle</v>
      </c>
      <c r="AK17" s="88">
        <f t="shared" si="7"/>
        <v>100</v>
      </c>
      <c r="AL17" s="88">
        <f t="shared" si="8"/>
        <v>75.000000000000057</v>
      </c>
      <c r="AM17" s="88">
        <f t="shared" si="9"/>
        <v>53.409090909090871</v>
      </c>
      <c r="AO17" s="88">
        <f t="shared" si="10"/>
        <v>1.8331805682859779</v>
      </c>
      <c r="AP17" s="88">
        <f t="shared" si="11"/>
        <v>96.262367167460596</v>
      </c>
      <c r="AR17" s="88">
        <f t="shared" si="12"/>
        <v>87.95010811996616</v>
      </c>
      <c r="AS17" s="88">
        <f t="shared" si="13"/>
        <v>92.439075192668184</v>
      </c>
      <c r="AT17" s="88">
        <f t="shared" si="14"/>
        <v>100</v>
      </c>
      <c r="AU17">
        <f t="shared" si="15"/>
        <v>18.933947199969854</v>
      </c>
      <c r="AV17">
        <f t="shared" si="16"/>
        <v>12.049891880033844</v>
      </c>
      <c r="AX17" s="88">
        <f t="shared" si="17"/>
        <v>100</v>
      </c>
      <c r="AY17" s="88">
        <f t="shared" si="18"/>
        <v>37.352957501588882</v>
      </c>
      <c r="AZ17" s="102">
        <f t="shared" si="19"/>
        <v>0</v>
      </c>
    </row>
    <row r="18" spans="1:52" ht="15.75" thickBot="1" x14ac:dyDescent="0.3">
      <c r="A18" s="16" t="s">
        <v>49</v>
      </c>
      <c r="B18" s="10">
        <f>_xlfn.XLOOKUP($A18,'Master Raw Data'!$A:$A,'Master Raw Data'!$B:$B)</f>
        <v>111</v>
      </c>
      <c r="C18" s="10">
        <f>_xlfn.XLOOKUP(A18,'Master Raw Data'!$A:$A,'Master Raw Data'!$B:$B)-_xlfn.XLOOKUP('Macro Regime Monitor'!A18,'Master Raw Data'!$A:$A,'Master Raw Data'!$C:$C)</f>
        <v>1</v>
      </c>
      <c r="D18" s="10">
        <f>_xlfn.XLOOKUP($A18,'Master Raw Data'!$A:$A,'Master Raw Data'!$D:$D)</f>
        <v>1.69</v>
      </c>
      <c r="E18" s="10">
        <f>_xlfn.XLOOKUP($A18,'Master Raw Data'!$A:$A,'Master Raw Data'!$D:$D)-_xlfn.XLOOKUP('Macro Regime Monitor'!$A18,'Master Raw Data'!$A:$A,'Master Raw Data'!$E:$E)</f>
        <v>-4.82</v>
      </c>
      <c r="F18" s="10">
        <f>_xlfn.XLOOKUP($A18,'Master Raw Data'!$A:$A,'Master Raw Data'!$F:$F)</f>
        <v>3.34</v>
      </c>
      <c r="G18" s="10">
        <f>_xlfn.XLOOKUP($A18,'Master Raw Data'!$A:$A,'Master Raw Data'!$F:$F)-_xlfn.XLOOKUP('Macro Regime Monitor'!$A18,'Master Raw Data'!$A:$A,'Master Raw Data'!$G:$G)</f>
        <v>-1.0000000000000231E-2</v>
      </c>
      <c r="H18" s="10">
        <f>_xlfn.XLOOKUP($A18,'Master Raw Data'!$A:$A,'Master Raw Data'!$H:$H)</f>
        <v>56.1</v>
      </c>
      <c r="I18" s="10">
        <f>_xlfn.XLOOKUP($A18,'Master Raw Data'!$A:$A,'Master Raw Data'!$H:$H)-_xlfn.XLOOKUP('Macro Regime Monitor'!$A18,'Master Raw Data'!$A:$A,'Master Raw Data'!$I:$I)</f>
        <v>0.80000000000000426</v>
      </c>
      <c r="J18" s="25">
        <f>_xlfn.XLOOKUP($A18,'Master Raw Data'!$A:$A,'Master Raw Data'!$J:$J)</f>
        <v>2</v>
      </c>
      <c r="K18" s="25">
        <f>_xlfn.XLOOKUP($A18,'Master Raw Data'!$A:$A,'Master Raw Data'!$K:$K)</f>
        <v>0.26</v>
      </c>
      <c r="L18" s="25">
        <f>ABS(_xlfn.XLOOKUP($A18,'Master Raw Data'!$A:$A,'Master Raw Data'!$Q:$Q))</f>
        <v>0.26</v>
      </c>
      <c r="M18" s="25">
        <f>_xlfn.XLOOKUP($A18,'Master Raw Data'!$A:$A,'Master Raw Data'!$R:$R)</f>
        <v>0</v>
      </c>
      <c r="N18" s="26">
        <f>_xlfn.XLOOKUP($A18,'Master Raw Data'!$A:$A,'Master Raw Data'!$T:$T)</f>
        <v>1.79</v>
      </c>
      <c r="O18" s="26">
        <f>_xlfn.XLOOKUP($A18,'Master Raw Data'!$A:$A,'Master Raw Data'!$T:$T)-_xlfn.XLOOKUP('Macro Regime Monitor'!$A18,'Master Raw Data'!$A:$A,'Master Raw Data'!$U:$U)</f>
        <v>0.20999999999999996</v>
      </c>
      <c r="P18" s="92">
        <f>('Master Raw Data'!$V15/'Master Raw Data'!$X15)-1</f>
        <v>1.0906511263113003</v>
      </c>
      <c r="Q18" s="90">
        <f>('Master Raw Data'!$Y15/'Master Raw Data'!$AA15)-1</f>
        <v>7.1675752547997185E-2</v>
      </c>
      <c r="R18" s="92">
        <f>_xlfn.XLOOKUP($A18,'Master Raw Data'!$A:$A,'Master Raw Data'!$AB:$AB)</f>
        <v>2.75</v>
      </c>
      <c r="S18" s="99">
        <f>('Master Raw Data'!$V15/'Master Raw Data'!$W15)-1</f>
        <v>0.32241367747374872</v>
      </c>
      <c r="T18" s="96">
        <f>('Master Raw Data'!$Y15/'Master Raw Data'!$Z15)-1</f>
        <v>-9.2408827672562088E-3</v>
      </c>
      <c r="U18" s="99">
        <f t="shared" si="22"/>
        <v>0.33165456024100493</v>
      </c>
      <c r="V18" s="81" t="s">
        <v>57</v>
      </c>
      <c r="W18" s="87">
        <f t="shared" si="2"/>
        <v>43.579545454545489</v>
      </c>
      <c r="X18" s="86">
        <f t="shared" si="3"/>
        <v>54.528137373674944</v>
      </c>
      <c r="Y18" s="101">
        <f t="shared" si="20"/>
        <v>56.364381974137054</v>
      </c>
      <c r="Z18" s="101">
        <f t="shared" si="21"/>
        <v>70.264023237750607</v>
      </c>
      <c r="AA18" s="111">
        <f t="shared" si="4"/>
        <v>54.849798120866765</v>
      </c>
      <c r="AB18" s="32">
        <f t="shared" si="5"/>
        <v>13</v>
      </c>
      <c r="AC18" s="32" t="str">
        <f t="shared" si="6"/>
        <v>Recovery</v>
      </c>
      <c r="AK18" s="88">
        <f t="shared" si="7"/>
        <v>0</v>
      </c>
      <c r="AL18" s="88">
        <f t="shared" si="8"/>
        <v>81.875000000000028</v>
      </c>
      <c r="AM18" s="88">
        <f t="shared" si="9"/>
        <v>48.863636363636424</v>
      </c>
      <c r="AO18" s="88">
        <f t="shared" si="10"/>
        <v>9.7158570119156771</v>
      </c>
      <c r="AP18" s="88">
        <f t="shared" si="11"/>
        <v>99.340417735434215</v>
      </c>
      <c r="AR18" s="88">
        <f t="shared" si="12"/>
        <v>95.741013507161</v>
      </c>
      <c r="AS18" s="88">
        <f t="shared" si="13"/>
        <v>88.939804207456788</v>
      </c>
      <c r="AT18" s="88">
        <f t="shared" si="14"/>
        <v>57.506171703141106</v>
      </c>
      <c r="AU18">
        <f t="shared" si="15"/>
        <v>35.375933960087359</v>
      </c>
      <c r="AV18">
        <f t="shared" si="16"/>
        <v>4.2589864928390098</v>
      </c>
      <c r="AX18" s="88">
        <f t="shared" si="17"/>
        <v>81.125022700985895</v>
      </c>
      <c r="AY18" s="88">
        <f t="shared" si="18"/>
        <v>78.859717832724172</v>
      </c>
      <c r="AZ18" s="102">
        <f t="shared" si="19"/>
        <v>31.350635121332875</v>
      </c>
    </row>
    <row r="19" spans="1:52" ht="15.75" customHeight="1" thickBot="1" x14ac:dyDescent="0.3">
      <c r="A19" s="17" t="s">
        <v>50</v>
      </c>
      <c r="B19" s="10">
        <f>_xlfn.XLOOKUP($A19,'Master Raw Data'!$A:$A,'Master Raw Data'!$B:$B)</f>
        <v>111</v>
      </c>
      <c r="C19" s="10">
        <f>_xlfn.XLOOKUP(A19,'Master Raw Data'!$A:$A,'Master Raw Data'!$B:$B)-_xlfn.XLOOKUP('Macro Regime Monitor'!A19,'Master Raw Data'!$A:$A,'Master Raw Data'!$C:$C)</f>
        <v>0</v>
      </c>
      <c r="D19" s="10">
        <f>_xlfn.XLOOKUP($A19,'Master Raw Data'!$A:$A,'Master Raw Data'!$D:$D)</f>
        <v>-0.77</v>
      </c>
      <c r="E19" s="10">
        <f>_xlfn.XLOOKUP($A19,'Master Raw Data'!$A:$A,'Master Raw Data'!$D:$D)-_xlfn.XLOOKUP('Macro Regime Monitor'!$A19,'Master Raw Data'!$A:$A,'Master Raw Data'!$E:$E)</f>
        <v>-1.63</v>
      </c>
      <c r="F19" s="10">
        <f>_xlfn.XLOOKUP($A19,'Master Raw Data'!$A:$A,'Master Raw Data'!$F:$F)</f>
        <v>4.68</v>
      </c>
      <c r="G19" s="10">
        <f>_xlfn.XLOOKUP($A19,'Master Raw Data'!$A:$A,'Master Raw Data'!$F:$F)-_xlfn.XLOOKUP('Macro Regime Monitor'!$A19,'Master Raw Data'!$A:$A,'Master Raw Data'!$G:$G)</f>
        <v>-0.16999999999999993</v>
      </c>
      <c r="H19" s="10">
        <f>_xlfn.XLOOKUP($A19,'Master Raw Data'!$A:$A,'Master Raw Data'!$H:$H)</f>
        <v>50</v>
      </c>
      <c r="I19" s="10">
        <f>_xlfn.XLOOKUP($A19,'Master Raw Data'!$A:$A,'Master Raw Data'!$H:$H)-_xlfn.XLOOKUP('Macro Regime Monitor'!$A19,'Master Raw Data'!$A:$A,'Master Raw Data'!$I:$I)</f>
        <v>0.89999999999999858</v>
      </c>
      <c r="J19" s="25">
        <f>_xlfn.XLOOKUP($A19,'Master Raw Data'!$A:$A,'Master Raw Data'!$J:$J)</f>
        <v>5.5</v>
      </c>
      <c r="K19" s="25">
        <f>_xlfn.XLOOKUP($A19,'Master Raw Data'!$A:$A,'Master Raw Data'!$K:$K)</f>
        <v>2.42</v>
      </c>
      <c r="L19" s="25">
        <f>ABS(_xlfn.XLOOKUP($A19,'Master Raw Data'!$A:$A,'Master Raw Data'!$Q:$Q))</f>
        <v>8.0000000000000071E-2</v>
      </c>
      <c r="M19" s="25">
        <f>_xlfn.XLOOKUP($A19,'Master Raw Data'!$A:$A,'Master Raw Data'!$R:$R)</f>
        <v>0.25</v>
      </c>
      <c r="N19" s="26">
        <f>_xlfn.XLOOKUP($A19,'Master Raw Data'!$A:$A,'Master Raw Data'!$T:$T)</f>
        <v>7.4790000000000001</v>
      </c>
      <c r="O19" s="26">
        <f>_xlfn.XLOOKUP($A19,'Master Raw Data'!$A:$A,'Master Raw Data'!$T:$T)-_xlfn.XLOOKUP('Macro Regime Monitor'!$A19,'Master Raw Data'!$A:$A,'Master Raw Data'!$U:$U)</f>
        <v>0.57500000000000018</v>
      </c>
      <c r="P19" s="92">
        <f>('Master Raw Data'!$V16/'Master Raw Data'!$X16)-1</f>
        <v>-0.15531063527132116</v>
      </c>
      <c r="Q19" s="90">
        <f>('Master Raw Data'!$Y16/'Master Raw Data'!$AA16)-1</f>
        <v>8.7937459679873431E-2</v>
      </c>
      <c r="R19" s="92">
        <f>_xlfn.XLOOKUP($A19,'Master Raw Data'!$A:$A,'Master Raw Data'!$AB:$AB)</f>
        <v>-2.9390000000000001</v>
      </c>
      <c r="S19" s="99">
        <f>('Master Raw Data'!$V16/'Master Raw Data'!$W16)-1</f>
        <v>-0.24743820188278909</v>
      </c>
      <c r="T19" s="96">
        <f>('Master Raw Data'!$Y16/'Master Raw Data'!$Z16)-1</f>
        <v>5.4432571138790298E-2</v>
      </c>
      <c r="U19" s="99">
        <f t="shared" si="22"/>
        <v>0.30187077302157939</v>
      </c>
      <c r="V19" s="81" t="s">
        <v>57</v>
      </c>
      <c r="W19" s="87">
        <f t="shared" si="2"/>
        <v>63.11507936507936</v>
      </c>
      <c r="X19" s="86">
        <f t="shared" si="3"/>
        <v>64.757103574702114</v>
      </c>
      <c r="Y19" s="101">
        <f t="shared" si="20"/>
        <v>44.348074472484676</v>
      </c>
      <c r="Z19" s="101">
        <f t="shared" si="21"/>
        <v>7.5352154341492357</v>
      </c>
      <c r="AA19" s="111">
        <f t="shared" si="4"/>
        <v>47.717861408150355</v>
      </c>
      <c r="AB19" s="32">
        <f t="shared" si="5"/>
        <v>18</v>
      </c>
      <c r="AC19" s="32" t="str">
        <f t="shared" si="6"/>
        <v>Stress</v>
      </c>
      <c r="AK19" s="88">
        <f t="shared" si="7"/>
        <v>47.470238095238102</v>
      </c>
      <c r="AL19" s="88">
        <f t="shared" si="8"/>
        <v>91.874999999999972</v>
      </c>
      <c r="AM19" s="88">
        <f t="shared" si="9"/>
        <v>50</v>
      </c>
      <c r="AO19" s="88">
        <f t="shared" si="10"/>
        <v>29.514207149404221</v>
      </c>
      <c r="AP19" s="88">
        <f t="shared" si="11"/>
        <v>100</v>
      </c>
      <c r="AR19" s="88">
        <f t="shared" si="12"/>
        <v>77.912187784010783</v>
      </c>
      <c r="AS19" s="88">
        <f t="shared" si="13"/>
        <v>92.741095605082265</v>
      </c>
      <c r="AT19" s="88">
        <f t="shared" si="14"/>
        <v>0</v>
      </c>
      <c r="AU19">
        <f t="shared" si="15"/>
        <v>28.999276757341118</v>
      </c>
      <c r="AV19">
        <f t="shared" si="16"/>
        <v>22.087812215989217</v>
      </c>
      <c r="AX19" s="88">
        <f t="shared" si="17"/>
        <v>0</v>
      </c>
      <c r="AY19" s="88">
        <f t="shared" si="18"/>
        <v>0</v>
      </c>
      <c r="AZ19" s="102">
        <f t="shared" si="19"/>
        <v>37.676077170746176</v>
      </c>
    </row>
    <row r="20" spans="1:52" ht="15.75" customHeight="1" thickBot="1" x14ac:dyDescent="0.3">
      <c r="A20" s="3" t="s">
        <v>52</v>
      </c>
      <c r="B20" s="10"/>
      <c r="C20" s="10"/>
      <c r="D20" s="10"/>
      <c r="E20" s="10"/>
      <c r="F20" s="10"/>
      <c r="G20" s="10"/>
      <c r="H20" s="10"/>
      <c r="I20" s="10"/>
      <c r="J20" s="25"/>
      <c r="K20" s="25"/>
      <c r="L20" s="25"/>
      <c r="M20" s="25"/>
      <c r="N20" s="26"/>
      <c r="O20" s="26"/>
      <c r="P20" s="93"/>
      <c r="Q20" s="90"/>
      <c r="R20" s="92"/>
      <c r="S20" s="98"/>
      <c r="T20" s="95"/>
      <c r="U20" s="98"/>
      <c r="V20" s="81"/>
      <c r="W20" s="87"/>
      <c r="X20" s="86"/>
      <c r="Y20" s="101"/>
      <c r="Z20" s="101"/>
      <c r="AA20" s="111"/>
      <c r="AB20" s="32"/>
      <c r="AC20" s="32"/>
      <c r="AK20" s="88"/>
      <c r="AL20" s="88"/>
      <c r="AM20" s="88"/>
      <c r="AO20" s="88"/>
      <c r="AP20" s="88"/>
      <c r="AR20" s="88"/>
      <c r="AS20" s="88"/>
      <c r="AT20" s="88"/>
      <c r="AX20" s="88"/>
      <c r="AY20" s="88"/>
      <c r="AZ20" s="102"/>
    </row>
    <row r="21" spans="1:52" ht="15.75" thickBot="1" x14ac:dyDescent="0.3">
      <c r="A21" s="18" t="s">
        <v>53</v>
      </c>
      <c r="B21" s="10">
        <f>_xlfn.XLOOKUP($A21,'Master Raw Data'!$A:$A,'Master Raw Data'!$B:$B)</f>
        <v>7596</v>
      </c>
      <c r="C21" s="10">
        <f>_xlfn.XLOOKUP(A21,'Master Raw Data'!$A:$A,'Master Raw Data'!$B:$B)-_xlfn.XLOOKUP('Macro Regime Monitor'!A21,'Master Raw Data'!$A:$A,'Master Raw Data'!$C:$C)</f>
        <v>50</v>
      </c>
      <c r="D21" s="10">
        <f>_xlfn.XLOOKUP($A21,'Master Raw Data'!$A:$A,'Master Raw Data'!$D:$D)</f>
        <v>1.1000000000000001</v>
      </c>
      <c r="E21" s="10">
        <f>_xlfn.XLOOKUP($A21,'Master Raw Data'!$A:$A,'Master Raw Data'!$D:$D)-_xlfn.XLOOKUP('Macro Regime Monitor'!$A21,'Master Raw Data'!$A:$A,'Master Raw Data'!$E:$E)</f>
        <v>0.8</v>
      </c>
      <c r="F21" s="10">
        <f>_xlfn.XLOOKUP($A21,'Master Raw Data'!$A:$A,'Master Raw Data'!$F:$F)</f>
        <v>5.8</v>
      </c>
      <c r="G21" s="10">
        <f>_xlfn.XLOOKUP($A21,'Master Raw Data'!$A:$A,'Master Raw Data'!$F:$F)-_xlfn.XLOOKUP('Macro Regime Monitor'!$A21,'Master Raw Data'!$A:$A,'Master Raw Data'!$G:$G)</f>
        <v>-0.29999999999999982</v>
      </c>
      <c r="H21" s="10">
        <f>_xlfn.XLOOKUP($A21,'Master Raw Data'!$A:$A,'Master Raw Data'!$H:$H)</f>
        <v>49.1</v>
      </c>
      <c r="I21" s="10">
        <f>_xlfn.XLOOKUP($A21,'Master Raw Data'!$A:$A,'Master Raw Data'!$H:$H)-_xlfn.XLOOKUP('Macro Regime Monitor'!$A21,'Master Raw Data'!$A:$A,'Master Raw Data'!$I:$I)</f>
        <v>-3.5</v>
      </c>
      <c r="J21" s="25">
        <f>_xlfn.XLOOKUP($A21,'Master Raw Data'!$A:$A,'Master Raw Data'!$J:$J)</f>
        <v>14.5</v>
      </c>
      <c r="K21" s="25">
        <f>_xlfn.XLOOKUP($A21,'Master Raw Data'!$A:$A,'Master Raw Data'!$K:$K)</f>
        <v>10.11</v>
      </c>
      <c r="L21" s="25">
        <f>ABS(_xlfn.XLOOKUP($A21,'Master Raw Data'!$A:$A,'Master Raw Data'!$Q:$Q))</f>
        <v>0.63999999999999968</v>
      </c>
      <c r="M21" s="25">
        <f>_xlfn.XLOOKUP($A21,'Master Raw Data'!$A:$A,'Master Raw Data'!$R:$R)</f>
        <v>0</v>
      </c>
      <c r="N21" s="26">
        <f>_xlfn.XLOOKUP($A21,'Master Raw Data'!$A:$A,'Master Raw Data'!$T:$T)</f>
        <v>14.803000000000001</v>
      </c>
      <c r="O21" s="26">
        <f>_xlfn.XLOOKUP($A21,'Master Raw Data'!$A:$A,'Master Raw Data'!$T:$T)-_xlfn.XLOOKUP('Macro Regime Monitor'!$A21,'Master Raw Data'!$A:$A,'Master Raw Data'!$U:$U)</f>
        <v>-7.3999999999999844E-2</v>
      </c>
      <c r="P21" s="79">
        <f>('Master Raw Data'!$V18/'Master Raw Data'!$X18)-1</f>
        <v>0.2638044495537919</v>
      </c>
      <c r="Q21" s="91">
        <f>('Master Raw Data'!$Y18/'Master Raw Data'!$AA18)-1</f>
        <v>-5.9129457813859032E-2</v>
      </c>
      <c r="R21" s="92">
        <f>_xlfn.XLOOKUP($A21,'Master Raw Data'!$A:$A,'Master Raw Data'!$AB:$AB)</f>
        <v>-10.263000000000002</v>
      </c>
      <c r="S21" s="99">
        <f>('Master Raw Data'!$V18/'Master Raw Data'!$W18)-1</f>
        <v>-6.779403051601085E-2</v>
      </c>
      <c r="T21" s="96">
        <f>('Master Raw Data'!$Y18/'Master Raw Data'!$Z18)-1</f>
        <v>-7.8916192150417785E-3</v>
      </c>
      <c r="U21" s="99">
        <f>ABS($S21)+ABS($T21)</f>
        <v>7.5685649731052629E-2</v>
      </c>
      <c r="V21" s="81" t="s">
        <v>57</v>
      </c>
      <c r="W21" s="87">
        <f t="shared" si="2"/>
        <v>61.210317460317441</v>
      </c>
      <c r="X21" s="86">
        <f t="shared" si="3"/>
        <v>98.973983144008798</v>
      </c>
      <c r="Y21" s="101">
        <f t="shared" si="20"/>
        <v>58.398830667358141</v>
      </c>
      <c r="Z21" s="100">
        <f t="shared" si="21"/>
        <v>58.24782905829943</v>
      </c>
      <c r="AA21" s="111">
        <f t="shared" si="4"/>
        <v>69.355864502596845</v>
      </c>
      <c r="AB21" s="32">
        <f t="shared" si="5"/>
        <v>2</v>
      </c>
      <c r="AC21" s="32" t="str">
        <f t="shared" si="6"/>
        <v>Neutral</v>
      </c>
      <c r="AK21" s="88">
        <f t="shared" si="7"/>
        <v>83.63095238095238</v>
      </c>
      <c r="AL21" s="88">
        <f t="shared" si="8"/>
        <v>99.999999999999943</v>
      </c>
      <c r="AM21" s="88">
        <f t="shared" si="9"/>
        <v>0</v>
      </c>
      <c r="AO21" s="88">
        <f t="shared" si="10"/>
        <v>100</v>
      </c>
      <c r="AP21" s="88">
        <f t="shared" si="11"/>
        <v>97.947966288017582</v>
      </c>
      <c r="AR21" s="88">
        <f t="shared" si="12"/>
        <v>54.959415838791571</v>
      </c>
      <c r="AS21" s="88">
        <f t="shared" si="13"/>
        <v>85.982087065194747</v>
      </c>
      <c r="AT21" s="88">
        <f t="shared" si="14"/>
        <v>19.343855304769146</v>
      </c>
      <c r="AU21">
        <f t="shared" si="15"/>
        <v>86.66821096682682</v>
      </c>
      <c r="AV21">
        <f t="shared" si="16"/>
        <v>45.040584161208436</v>
      </c>
      <c r="AX21" s="88">
        <f t="shared" si="17"/>
        <v>25.574430844530806</v>
      </c>
      <c r="AY21" s="88">
        <f t="shared" si="18"/>
        <v>77.188651847099905</v>
      </c>
      <c r="AZ21" s="102">
        <f t="shared" si="19"/>
        <v>85.712979908235752</v>
      </c>
    </row>
    <row r="22" spans="1:52" ht="15.75" thickBot="1" x14ac:dyDescent="0.3">
      <c r="A22" s="19" t="s">
        <v>55</v>
      </c>
      <c r="B22" s="10">
        <f>_xlfn.XLOOKUP($A22,'Master Raw Data'!$A:$A,'Master Raw Data'!$B:$B)</f>
        <v>146</v>
      </c>
      <c r="C22" s="10">
        <f>_xlfn.XLOOKUP(A22,'Master Raw Data'!$A:$A,'Master Raw Data'!$B:$B)-_xlfn.XLOOKUP('Macro Regime Monitor'!A22,'Master Raw Data'!$A:$A,'Master Raw Data'!$C:$C)</f>
        <v>0</v>
      </c>
      <c r="D22" s="10">
        <f>_xlfn.XLOOKUP($A22,'Master Raw Data'!$A:$A,'Master Raw Data'!$D:$D)</f>
        <v>-0.6</v>
      </c>
      <c r="E22" s="10">
        <f>_xlfn.XLOOKUP($A22,'Master Raw Data'!$A:$A,'Master Raw Data'!$D:$D)-_xlfn.XLOOKUP('Macro Regime Monitor'!$A22,'Master Raw Data'!$A:$A,'Master Raw Data'!$E:$E)</f>
        <v>-1.5</v>
      </c>
      <c r="F22" s="10">
        <f>_xlfn.XLOOKUP($A22,'Master Raw Data'!$A:$A,'Master Raw Data'!$F:$F)</f>
        <v>2.5</v>
      </c>
      <c r="G22" s="10">
        <f>_xlfn.XLOOKUP($A22,'Master Raw Data'!$A:$A,'Master Raw Data'!$F:$F)-_xlfn.XLOOKUP('Macro Regime Monitor'!$A22,'Master Raw Data'!$A:$A,'Master Raw Data'!$G:$G)</f>
        <v>0.10000000000000009</v>
      </c>
      <c r="H22" s="10">
        <f>_xlfn.XLOOKUP($A22,'Master Raw Data'!$A:$A,'Master Raw Data'!$H:$H)</f>
        <v>49.6</v>
      </c>
      <c r="I22" s="10">
        <f>_xlfn.XLOOKUP($A22,'Master Raw Data'!$A:$A,'Master Raw Data'!$H:$H)-_xlfn.XLOOKUP('Macro Regime Monitor'!$A22,'Master Raw Data'!$A:$A,'Master Raw Data'!$I:$I)</f>
        <v>1.8999999999999986</v>
      </c>
      <c r="J22" s="25">
        <f>_xlfn.XLOOKUP($A22,'Master Raw Data'!$A:$A,'Master Raw Data'!$J:$J)</f>
        <v>6.5</v>
      </c>
      <c r="K22" s="25">
        <f>_xlfn.XLOOKUP($A22,'Master Raw Data'!$A:$A,'Master Raw Data'!$K:$K)</f>
        <v>2.0499999999999998</v>
      </c>
      <c r="L22" s="25">
        <f>ABS(_xlfn.XLOOKUP($A22,'Master Raw Data'!$A:$A,'Master Raw Data'!$Q:$Q))</f>
        <v>1.4500000000000002</v>
      </c>
      <c r="M22" s="25">
        <f>_xlfn.XLOOKUP($A22,'Master Raw Data'!$A:$A,'Master Raw Data'!$R:$R)</f>
        <v>-0.25</v>
      </c>
      <c r="N22" s="26">
        <f>_xlfn.XLOOKUP($A22,'Master Raw Data'!$A:$A,'Master Raw Data'!$T:$T)</f>
        <v>8</v>
      </c>
      <c r="O22" s="26">
        <f>_xlfn.XLOOKUP($A22,'Master Raw Data'!$A:$A,'Master Raw Data'!$T:$T)-_xlfn.XLOOKUP('Macro Regime Monitor'!$A22,'Master Raw Data'!$A:$A,'Master Raw Data'!$U:$U)</f>
        <v>5.1000000000000156E-2</v>
      </c>
      <c r="P22" s="79">
        <f>('Master Raw Data'!$V19/'Master Raw Data'!$X19)-1</f>
        <v>0.15942782884374274</v>
      </c>
      <c r="Q22" s="91">
        <f>('Master Raw Data'!$Y19/'Master Raw Data'!$AA19)-1</f>
        <v>-9.312809407551248E-2</v>
      </c>
      <c r="R22" s="92">
        <f>_xlfn.XLOOKUP($A22,'Master Raw Data'!$A:$A,'Master Raw Data'!$AB:$AB)</f>
        <v>-3.46</v>
      </c>
      <c r="S22" s="99">
        <f>('Master Raw Data'!$V19/'Master Raw Data'!$W19)-1</f>
        <v>-8.6253981288866299E-3</v>
      </c>
      <c r="T22" s="96">
        <f>('Master Raw Data'!$Y19/'Master Raw Data'!$Z19)-1</f>
        <v>-1.4844262480490311E-2</v>
      </c>
      <c r="U22" s="99">
        <f t="shared" ref="U22:U23" si="23">ABS(S22)+ABS(T22)</f>
        <v>2.3469660609376941E-2</v>
      </c>
      <c r="V22" s="81" t="s">
        <v>57</v>
      </c>
      <c r="W22" s="87">
        <f t="shared" si="2"/>
        <v>61.922799422799436</v>
      </c>
      <c r="X22" s="86">
        <f t="shared" si="3"/>
        <v>60.551334597773376</v>
      </c>
      <c r="Y22" s="101">
        <f t="shared" si="20"/>
        <v>60.362070307442636</v>
      </c>
      <c r="Z22" s="101">
        <f t="shared" si="21"/>
        <v>67.279424026206314</v>
      </c>
      <c r="AA22" s="111">
        <f t="shared" si="4"/>
        <v>62.261075858385091</v>
      </c>
      <c r="AB22" s="32">
        <f t="shared" si="5"/>
        <v>4</v>
      </c>
      <c r="AC22" s="32" t="str">
        <f t="shared" si="6"/>
        <v>Neutral</v>
      </c>
      <c r="AK22" s="88">
        <f t="shared" si="7"/>
        <v>49.404761904761905</v>
      </c>
      <c r="AL22" s="88">
        <f t="shared" si="8"/>
        <v>75.000000000000028</v>
      </c>
      <c r="AM22" s="88">
        <f t="shared" si="9"/>
        <v>61.363636363636367</v>
      </c>
      <c r="AO22" s="88">
        <f t="shared" si="10"/>
        <v>26.122823098075159</v>
      </c>
      <c r="AP22" s="88">
        <f t="shared" si="11"/>
        <v>94.979846097471594</v>
      </c>
      <c r="AR22" s="88">
        <f t="shared" si="12"/>
        <v>76.279419599486047</v>
      </c>
      <c r="AS22" s="88">
        <f t="shared" si="13"/>
        <v>87.283899187669235</v>
      </c>
      <c r="AT22" s="88">
        <f t="shared" si="14"/>
        <v>14.526452349543941</v>
      </c>
      <c r="AU22">
        <f t="shared" si="15"/>
        <v>100</v>
      </c>
      <c r="AV22">
        <f t="shared" si="16"/>
        <v>23.720580400513956</v>
      </c>
      <c r="AX22" s="88">
        <f t="shared" si="17"/>
        <v>33.997771750262032</v>
      </c>
      <c r="AY22" s="88">
        <f t="shared" si="18"/>
        <v>85.799516382796099</v>
      </c>
      <c r="AZ22" s="102">
        <f t="shared" si="19"/>
        <v>96.802543864915307</v>
      </c>
    </row>
    <row r="23" spans="1:52" ht="15.75" customHeight="1" thickBot="1" x14ac:dyDescent="0.3">
      <c r="A23" s="20" t="s">
        <v>56</v>
      </c>
      <c r="B23" s="10">
        <f>_xlfn.XLOOKUP($A23,'Master Raw Data'!$A:$A,'Master Raw Data'!$B:$B)</f>
        <v>112</v>
      </c>
      <c r="C23" s="10">
        <f>_xlfn.XLOOKUP(A23,'Master Raw Data'!$A:$A,'Master Raw Data'!$B:$B)-_xlfn.XLOOKUP('Macro Regime Monitor'!A23,'Master Raw Data'!$A:$A,'Master Raw Data'!$C:$C)</f>
        <v>1</v>
      </c>
      <c r="D23" s="10">
        <f>_xlfn.XLOOKUP($A23,'Master Raw Data'!$A:$A,'Master Raw Data'!$D:$D)</f>
        <v>-0.3</v>
      </c>
      <c r="E23" s="10">
        <f>_xlfn.XLOOKUP($A23,'Master Raw Data'!$A:$A,'Master Raw Data'!$D:$D)-_xlfn.XLOOKUP('Macro Regime Monitor'!$A23,'Master Raw Data'!$A:$A,'Master Raw Data'!$E:$E)</f>
        <v>-0.89999999999999991</v>
      </c>
      <c r="F23" s="10">
        <f>_xlfn.XLOOKUP($A23,'Master Raw Data'!$A:$A,'Master Raw Data'!$F:$F)</f>
        <v>9.1</v>
      </c>
      <c r="G23" s="10">
        <f>_xlfn.XLOOKUP($A23,'Master Raw Data'!$A:$A,'Master Raw Data'!$F:$F)-_xlfn.XLOOKUP('Macro Regime Monitor'!$A23,'Master Raw Data'!$A:$A,'Master Raw Data'!$G:$G)</f>
        <v>0.19999999999999929</v>
      </c>
      <c r="H23" s="10" t="str">
        <f>_xlfn.XLOOKUP($A23,'Master Raw Data'!$A:$A,'Master Raw Data'!$H:$H)</f>
        <v>N/A</v>
      </c>
      <c r="I23" s="10" t="str">
        <f>H23</f>
        <v>N/A</v>
      </c>
      <c r="J23" s="25">
        <f>_xlfn.XLOOKUP($A23,'Master Raw Data'!$A:$A,'Master Raw Data'!$J:$J)</f>
        <v>4.5</v>
      </c>
      <c r="K23" s="25">
        <f>_xlfn.XLOOKUP($A23,'Master Raw Data'!$A:$A,'Master Raw Data'!$K:$K)</f>
        <v>0.5</v>
      </c>
      <c r="L23" s="25">
        <f>ABS(_xlfn.XLOOKUP($A23,'Master Raw Data'!$A:$A,'Master Raw Data'!$Q:$Q))</f>
        <v>1</v>
      </c>
      <c r="M23" s="25">
        <f>_xlfn.XLOOKUP($A23,'Master Raw Data'!$A:$A,'Master Raw Data'!$R:$R)</f>
        <v>0</v>
      </c>
      <c r="N23" s="26">
        <f>_xlfn.XLOOKUP($A23,'Master Raw Data'!$A:$A,'Master Raw Data'!$T:$T)</f>
        <v>5.6</v>
      </c>
      <c r="O23" s="26">
        <f>_xlfn.XLOOKUP($A23,'Master Raw Data'!$A:$A,'Master Raw Data'!$T:$T)-_xlfn.XLOOKUP('Macro Regime Monitor'!$A23,'Master Raw Data'!$A:$A,'Master Raw Data'!$U:$U)</f>
        <v>0.83999999999999986</v>
      </c>
      <c r="P23" s="79">
        <f>('Master Raw Data'!$V20/'Master Raw Data'!$X20)-1</f>
        <v>0.29093245161422154</v>
      </c>
      <c r="Q23" s="91">
        <f>('Master Raw Data'!$Y20/'Master Raw Data'!$AA20)-1</f>
        <v>-2.9429712340352632E-2</v>
      </c>
      <c r="R23" s="92">
        <f>_xlfn.XLOOKUP($A23,'Master Raw Data'!$A:$A,'Master Raw Data'!$AB:$AB)</f>
        <v>-1.0599999999999996</v>
      </c>
      <c r="S23" s="99">
        <f>('Master Raw Data'!$V20/'Master Raw Data'!$W20)-1</f>
        <v>1.5003015987901769E-2</v>
      </c>
      <c r="T23" s="96">
        <f>('Master Raw Data'!$Y20/'Master Raw Data'!$Z20)-1</f>
        <v>7.176661408225371E-3</v>
      </c>
      <c r="U23" s="99">
        <f t="shared" si="23"/>
        <v>2.217967739612714E-2</v>
      </c>
      <c r="V23" s="81" t="s">
        <v>57</v>
      </c>
      <c r="W23" s="87">
        <f t="shared" si="2"/>
        <v>63.541666666666714</v>
      </c>
      <c r="X23" s="86">
        <f t="shared" si="3"/>
        <v>54.272237726372438</v>
      </c>
      <c r="Y23" s="101">
        <f t="shared" si="20"/>
        <v>58.223798675003842</v>
      </c>
      <c r="Z23" s="101">
        <f t="shared" si="21"/>
        <v>57.770542733713924</v>
      </c>
      <c r="AA23" s="111">
        <f t="shared" si="4"/>
        <v>58.740617647086879</v>
      </c>
      <c r="AB23" s="32">
        <f t="shared" si="5"/>
        <v>9</v>
      </c>
      <c r="AC23" s="32" t="str">
        <f t="shared" si="6"/>
        <v>Neutral</v>
      </c>
      <c r="AK23" s="88">
        <f t="shared" si="7"/>
        <v>58.333333333333336</v>
      </c>
      <c r="AL23" s="88">
        <f t="shared" si="8"/>
        <v>68.750000000000099</v>
      </c>
      <c r="AM23" s="88" t="s">
        <v>57</v>
      </c>
      <c r="AO23" s="88">
        <f t="shared" si="10"/>
        <v>11.915673693858848</v>
      </c>
      <c r="AP23" s="88">
        <f t="shared" si="11"/>
        <v>96.628801758886027</v>
      </c>
      <c r="AR23" s="88">
        <f t="shared" si="12"/>
        <v>83.800808549312109</v>
      </c>
      <c r="AS23" s="88">
        <f t="shared" si="13"/>
        <v>95.500937304728168</v>
      </c>
      <c r="AT23" s="88">
        <f t="shared" si="14"/>
        <v>20.59592225622092</v>
      </c>
      <c r="AU23">
        <f t="shared" si="15"/>
        <v>75.022133814070131</v>
      </c>
      <c r="AV23">
        <f t="shared" si="16"/>
        <v>16.199191450687888</v>
      </c>
      <c r="AX23" s="88">
        <f t="shared" si="17"/>
        <v>37.361550481284588</v>
      </c>
      <c r="AY23" s="88">
        <f t="shared" si="18"/>
        <v>58.5265519407791</v>
      </c>
      <c r="AZ23" s="102">
        <f t="shared" si="19"/>
        <v>97.076508824442215</v>
      </c>
    </row>
    <row r="24" spans="1:52" ht="15.75" customHeight="1" thickBot="1" x14ac:dyDescent="0.3">
      <c r="A24" s="4" t="s">
        <v>58</v>
      </c>
      <c r="B24" s="10"/>
      <c r="C24" s="10"/>
      <c r="D24" s="10"/>
      <c r="E24" s="10"/>
      <c r="F24" s="10"/>
      <c r="G24" s="10"/>
      <c r="H24" s="10"/>
      <c r="I24" s="10"/>
      <c r="J24" s="25"/>
      <c r="K24" s="25"/>
      <c r="L24" s="25"/>
      <c r="M24" s="25"/>
      <c r="N24" s="26"/>
      <c r="O24" s="26"/>
      <c r="P24" s="93"/>
      <c r="Q24" s="90"/>
      <c r="R24" s="92"/>
      <c r="S24" s="98"/>
      <c r="T24" s="95"/>
      <c r="U24" s="98"/>
      <c r="V24" s="81"/>
      <c r="W24" s="87"/>
      <c r="X24" s="86"/>
      <c r="Y24" s="101"/>
      <c r="Z24" s="101"/>
      <c r="AA24" s="111"/>
      <c r="AB24" s="32"/>
      <c r="AC24" s="32"/>
      <c r="AK24" s="88"/>
      <c r="AL24" s="88"/>
      <c r="AM24" s="88"/>
      <c r="AO24" s="88"/>
      <c r="AP24" s="88"/>
      <c r="AR24" s="88"/>
      <c r="AS24" s="88"/>
      <c r="AT24" s="88"/>
      <c r="AX24" s="88"/>
      <c r="AY24" s="88"/>
      <c r="AZ24" s="102"/>
    </row>
    <row r="25" spans="1:52" ht="15.75" thickBot="1" x14ac:dyDescent="0.3">
      <c r="A25" s="21" t="s">
        <v>59</v>
      </c>
      <c r="B25" s="10">
        <f>_xlfn.XLOOKUP($A25,'Master Raw Data'!$A:$A,'Master Raw Data'!$B:$B)</f>
        <v>106</v>
      </c>
      <c r="C25" s="10">
        <f>_xlfn.XLOOKUP(A25,'Master Raw Data'!$A:$A,'Master Raw Data'!$B:$B)-_xlfn.XLOOKUP('Macro Regime Monitor'!A25,'Master Raw Data'!$A:$A,'Master Raw Data'!$C:$C)</f>
        <v>1</v>
      </c>
      <c r="D25" s="10">
        <f>_xlfn.XLOOKUP($A25,'Master Raw Data'!$A:$A,'Master Raw Data'!$D:$D)</f>
        <v>0.4</v>
      </c>
      <c r="E25" s="10">
        <f>_xlfn.XLOOKUP($A25,'Master Raw Data'!$A:$A,'Master Raw Data'!$D:$D)-_xlfn.XLOOKUP('Macro Regime Monitor'!$A25,'Master Raw Data'!$A:$A,'Master Raw Data'!$E:$E)</f>
        <v>0</v>
      </c>
      <c r="F25" s="10">
        <f>_xlfn.XLOOKUP($A25,'Master Raw Data'!$A:$A,'Master Raw Data'!$F:$F)</f>
        <v>32.700000000000003</v>
      </c>
      <c r="G25" s="10">
        <f>_xlfn.XLOOKUP($A25,'Master Raw Data'!$A:$A,'Master Raw Data'!$F:$F)-_xlfn.XLOOKUP('Macro Regime Monitor'!$A25,'Master Raw Data'!$A:$A,'Master Raw Data'!$G:$G)</f>
        <v>1.3000000000000043</v>
      </c>
      <c r="H25" s="10">
        <f>_xlfn.XLOOKUP($A25,'Master Raw Data'!$A:$A,'Master Raw Data'!$H:$H)</f>
        <v>50.8</v>
      </c>
      <c r="I25" s="10">
        <f>_xlfn.XLOOKUP($A25,'Master Raw Data'!$A:$A,'Master Raw Data'!$H:$H)-_xlfn.XLOOKUP('Macro Regime Monitor'!$A25,'Master Raw Data'!$A:$A,'Master Raw Data'!$I:$I)</f>
        <v>-1.8000000000000043</v>
      </c>
      <c r="J25" s="25">
        <f>_xlfn.XLOOKUP($A25,'Master Raw Data'!$A:$A,'Master Raw Data'!$J:$J)</f>
        <v>7</v>
      </c>
      <c r="K25" s="25">
        <f>_xlfn.XLOOKUP($A25,'Master Raw Data'!$A:$A,'Master Raw Data'!$K:$K)</f>
        <v>3</v>
      </c>
      <c r="L25" s="25">
        <f>ABS(_xlfn.XLOOKUP($A25,'Master Raw Data'!$A:$A,'Master Raw Data'!$Q:$Q))</f>
        <v>0.5</v>
      </c>
      <c r="M25" s="25">
        <f>_xlfn.XLOOKUP($A25,'Master Raw Data'!$A:$A,'Master Raw Data'!$R:$R)</f>
        <v>0.25</v>
      </c>
      <c r="N25" s="26">
        <f>_xlfn.XLOOKUP($A25,'Master Raw Data'!$A:$A,'Master Raw Data'!$T:$T)</f>
        <v>8.6649999999999991</v>
      </c>
      <c r="O25" s="26">
        <f>_xlfn.XLOOKUP($A25,'Master Raw Data'!$A:$A,'Master Raw Data'!$T:$T)-_xlfn.XLOOKUP('Macro Regime Monitor'!$A25,'Master Raw Data'!$A:$A,'Master Raw Data'!$U:$U)</f>
        <v>0.54999999999999893</v>
      </c>
      <c r="P25" s="79">
        <f>('Master Raw Data'!$V22/'Master Raw Data'!$X22)-1</f>
        <v>0.14366353976084434</v>
      </c>
      <c r="Q25" s="91">
        <f>('Master Raw Data'!Y22/'Master Raw Data'!AA22)-1</f>
        <v>-8.1860562974774731E-2</v>
      </c>
      <c r="R25" s="92">
        <f>_xlfn.XLOOKUP($A25,'Master Raw Data'!$A:$A,'Master Raw Data'!$AB:$AB)</f>
        <v>-4.1249999999999991</v>
      </c>
      <c r="S25" s="99">
        <f>('Master Raw Data'!$V22/'Master Raw Data'!$W22)-1</f>
        <v>-6.0857677057202686E-2</v>
      </c>
      <c r="T25" s="96">
        <f>('Master Raw Data'!$Y22/'Master Raw Data'!$Z22)-1</f>
        <v>-5.1832432464861133E-3</v>
      </c>
      <c r="U25" s="99">
        <f>ABS($S25)+ABS($T25)</f>
        <v>6.6040920303688799E-2</v>
      </c>
      <c r="V25" s="81" t="s">
        <v>57</v>
      </c>
      <c r="W25" s="87">
        <f t="shared" si="2"/>
        <v>30.348124098124089</v>
      </c>
      <c r="X25" s="86">
        <f t="shared" si="3"/>
        <v>66.645702756723367</v>
      </c>
      <c r="Y25" s="100">
        <f t="shared" si="20"/>
        <v>60.37225895587985</v>
      </c>
      <c r="Z25" s="101">
        <f t="shared" si="21"/>
        <v>57.710752293491979</v>
      </c>
      <c r="AA25" s="111">
        <f t="shared" si="4"/>
        <v>52.401078116286428</v>
      </c>
      <c r="AB25" s="32">
        <f t="shared" si="5"/>
        <v>16</v>
      </c>
      <c r="AC25" s="32" t="str">
        <f t="shared" si="6"/>
        <v>Neutral</v>
      </c>
      <c r="AK25" s="88">
        <f t="shared" si="7"/>
        <v>71.726190476190482</v>
      </c>
      <c r="AL25" s="88">
        <f t="shared" si="8"/>
        <v>0</v>
      </c>
      <c r="AM25" s="88">
        <f t="shared" si="9"/>
        <v>19.318181818181777</v>
      </c>
      <c r="AO25" s="88">
        <f t="shared" si="10"/>
        <v>34.83043079743355</v>
      </c>
      <c r="AP25" s="88">
        <f t="shared" si="11"/>
        <v>98.460974716013183</v>
      </c>
      <c r="AR25" s="88">
        <f t="shared" si="12"/>
        <v>74.195368077971736</v>
      </c>
      <c r="AS25" s="88">
        <f t="shared" si="13"/>
        <v>92.480733180587364</v>
      </c>
      <c r="AT25" s="88">
        <f t="shared" si="14"/>
        <v>13.798866686218597</v>
      </c>
      <c r="AU25">
        <f t="shared" si="15"/>
        <v>95.581694912593306</v>
      </c>
      <c r="AV25">
        <f t="shared" si="16"/>
        <v>25.804631922028261</v>
      </c>
      <c r="AX25" s="88">
        <f t="shared" si="17"/>
        <v>26.561901189356679</v>
      </c>
      <c r="AY25" s="88">
        <f t="shared" si="18"/>
        <v>73.834322035175745</v>
      </c>
      <c r="AZ25" s="102">
        <f t="shared" si="19"/>
        <v>87.761315018394981</v>
      </c>
    </row>
    <row r="26" spans="1:52" ht="15.75" thickBot="1" x14ac:dyDescent="0.3">
      <c r="A26" s="22" t="s">
        <v>61</v>
      </c>
      <c r="B26" s="10">
        <f>_xlfn.XLOOKUP($A26,'Master Raw Data'!$A:$A,'Master Raw Data'!$B:$B)</f>
        <v>127</v>
      </c>
      <c r="C26" s="10">
        <f>_xlfn.XLOOKUP(A26,'Master Raw Data'!$A:$A,'Master Raw Data'!$B:$B)-_xlfn.XLOOKUP('Macro Regime Monitor'!A26,'Master Raw Data'!$A:$A,'Master Raw Data'!$C:$C)</f>
        <v>6</v>
      </c>
      <c r="D26" s="10">
        <f>_xlfn.XLOOKUP($A26,'Master Raw Data'!$A:$A,'Master Raw Data'!$D:$D)</f>
        <v>0.1</v>
      </c>
      <c r="E26" s="10">
        <f>_xlfn.XLOOKUP($A26,'Master Raw Data'!$A:$A,'Master Raw Data'!$D:$D)-_xlfn.XLOOKUP('Macro Regime Monitor'!$A26,'Master Raw Data'!$A:$A,'Master Raw Data'!$E:$E)</f>
        <v>-0.30000000000000004</v>
      </c>
      <c r="F26" s="10">
        <f>_xlfn.XLOOKUP($A26,'Master Raw Data'!$A:$A,'Master Raw Data'!$F:$F)</f>
        <v>8.1</v>
      </c>
      <c r="G26" s="10">
        <f>_xlfn.XLOOKUP($A26,'Master Raw Data'!$A:$A,'Master Raw Data'!$F:$F)-_xlfn.XLOOKUP('Macro Regime Monitor'!$A26,'Master Raw Data'!$A:$A,'Master Raw Data'!$G:$G)</f>
        <v>-0.30000000000000071</v>
      </c>
      <c r="H26" s="10">
        <f>_xlfn.XLOOKUP($A26,'Master Raw Data'!$A:$A,'Master Raw Data'!$H:$H)</f>
        <v>49.8</v>
      </c>
      <c r="I26" s="10">
        <f>_xlfn.XLOOKUP($A26,'Master Raw Data'!$A:$A,'Master Raw Data'!$H:$H)-_xlfn.XLOOKUP('Macro Regime Monitor'!$A26,'Master Raw Data'!$A:$A,'Master Raw Data'!$I:$I)</f>
        <v>4.0999999999999943</v>
      </c>
      <c r="J26" s="25">
        <f>_xlfn.XLOOKUP($A26,'Master Raw Data'!$A:$A,'Master Raw Data'!$J:$J)</f>
        <v>37</v>
      </c>
      <c r="K26" s="25">
        <f>_xlfn.XLOOKUP($A26,'Master Raw Data'!$A:$A,'Master Raw Data'!$K:$K)</f>
        <v>4.6300000000000026</v>
      </c>
      <c r="L26" s="25">
        <f>ABS(_xlfn.XLOOKUP($A26,'Master Raw Data'!$A:$A,'Master Raw Data'!$Q:$Q))</f>
        <v>27.369999999999997</v>
      </c>
      <c r="M26" s="25">
        <f>_xlfn.XLOOKUP($A26,'Master Raw Data'!$A:$A,'Master Raw Data'!$R:$R)</f>
        <v>0</v>
      </c>
      <c r="N26" s="26">
        <f>_xlfn.XLOOKUP($A26,'Master Raw Data'!$A:$A,'Master Raw Data'!$T:$T)</f>
        <v>32.340000000000003</v>
      </c>
      <c r="O26" s="26">
        <f>_xlfn.XLOOKUP($A26,'Master Raw Data'!$A:$A,'Master Raw Data'!$T:$T)-_xlfn.XLOOKUP('Macro Regime Monitor'!$A26,'Master Raw Data'!$A:$A,'Master Raw Data'!$U:$U)</f>
        <v>-8.3299999999999983</v>
      </c>
      <c r="P26" s="79">
        <f>('Master Raw Data'!$V23/'Master Raw Data'!$X23)-1</f>
        <v>0.42283303569117692</v>
      </c>
      <c r="Q26" s="91">
        <f>('Master Raw Data'!Y23/'Master Raw Data'!AA23)-1</f>
        <v>0.16189121486386115</v>
      </c>
      <c r="R26" s="92">
        <f>_xlfn.XLOOKUP($A26,'Master Raw Data'!$A:$A,'Master Raw Data'!$AB:$AB)</f>
        <v>-27.800000000000004</v>
      </c>
      <c r="S26" s="99">
        <f>('Master Raw Data'!$V23/'Master Raw Data'!$W23)-1</f>
        <v>7.431523982240007E-2</v>
      </c>
      <c r="T26" s="96">
        <f>('Master Raw Data'!$Y23/'Master Raw Data'!$Z23)-1</f>
        <v>4.4527934636232835E-2</v>
      </c>
      <c r="U26" s="99">
        <f>ABS($S26)+ABS($T26)</f>
        <v>0.11884317445863291</v>
      </c>
      <c r="V26" s="81" t="s">
        <v>57</v>
      </c>
      <c r="W26" s="87">
        <f t="shared" si="2"/>
        <v>84.541847041847021</v>
      </c>
      <c r="X26" s="86">
        <f t="shared" si="3"/>
        <v>24.885426214482141</v>
      </c>
      <c r="Y26" s="101">
        <f t="shared" si="20"/>
        <v>25.336733475548009</v>
      </c>
      <c r="Z26" s="101">
        <f t="shared" si="21"/>
        <v>38.538347444948087</v>
      </c>
      <c r="AA26" s="111">
        <f t="shared" si="4"/>
        <v>45.625763524051258</v>
      </c>
      <c r="AB26" s="32">
        <f t="shared" si="5"/>
        <v>19</v>
      </c>
      <c r="AC26" s="32" t="str">
        <f t="shared" si="6"/>
        <v>Stress</v>
      </c>
      <c r="AK26" s="88">
        <f t="shared" si="7"/>
        <v>67.261904761904773</v>
      </c>
      <c r="AL26" s="88">
        <f t="shared" si="8"/>
        <v>100</v>
      </c>
      <c r="AM26" s="88">
        <f t="shared" si="9"/>
        <v>86.363636363636331</v>
      </c>
      <c r="AO26" s="88">
        <f t="shared" si="10"/>
        <v>49.770852428964282</v>
      </c>
      <c r="AP26" s="88">
        <f t="shared" si="11"/>
        <v>0</v>
      </c>
      <c r="AR26" s="88">
        <f t="shared" si="12"/>
        <v>0</v>
      </c>
      <c r="AS26" s="88">
        <f t="shared" si="13"/>
        <v>0</v>
      </c>
      <c r="AT26" s="88">
        <f t="shared" si="14"/>
        <v>26.683667377740054</v>
      </c>
      <c r="AU26">
        <f t="shared" si="15"/>
        <v>0</v>
      </c>
      <c r="AV26">
        <f t="shared" si="16"/>
        <v>100</v>
      </c>
      <c r="AX26" s="88">
        <f t="shared" si="17"/>
        <v>45.805333294553343</v>
      </c>
      <c r="AY26" s="88">
        <f t="shared" si="18"/>
        <v>12.266914890150314</v>
      </c>
      <c r="AZ26" s="102">
        <f t="shared" si="19"/>
        <v>76.547240855333129</v>
      </c>
    </row>
    <row r="27" spans="1:52" ht="15.75" customHeight="1" thickBot="1" x14ac:dyDescent="0.3">
      <c r="A27" s="23" t="s">
        <v>63</v>
      </c>
      <c r="B27" s="10">
        <f>_xlfn.XLOOKUP($A27,'Master Raw Data'!$A:$A,'Master Raw Data'!$B:$B)</f>
        <v>105</v>
      </c>
      <c r="C27" s="10">
        <f>_xlfn.XLOOKUP(A27,'Master Raw Data'!$A:$A,'Master Raw Data'!$B:$B)-_xlfn.XLOOKUP('Macro Regime Monitor'!A27,'Master Raw Data'!$A:$A,'Master Raw Data'!$C:$C)</f>
        <v>0</v>
      </c>
      <c r="D27" s="10">
        <f>_xlfn.XLOOKUP($A27,'Master Raw Data'!$A:$A,'Master Raw Data'!$D:$D)</f>
        <v>-1.5</v>
      </c>
      <c r="E27" s="10">
        <f>_xlfn.XLOOKUP($A27,'Master Raw Data'!$A:$A,'Master Raw Data'!$D:$D)-_xlfn.XLOOKUP('Macro Regime Monitor'!$A27,'Master Raw Data'!$A:$A,'Master Raw Data'!$E:$E)</f>
        <v>-2.9</v>
      </c>
      <c r="F27" s="10">
        <f>_xlfn.XLOOKUP($A27,'Master Raw Data'!$A:$A,'Master Raw Data'!$F:$F)</f>
        <v>3.5</v>
      </c>
      <c r="G27" s="10">
        <f>_xlfn.XLOOKUP($A27,'Master Raw Data'!$A:$A,'Master Raw Data'!$F:$F)-_xlfn.XLOOKUP('Macro Regime Monitor'!$A27,'Master Raw Data'!$A:$A,'Master Raw Data'!$G:$G)</f>
        <v>0.10000000000000009</v>
      </c>
      <c r="H27" s="10">
        <f>_xlfn.XLOOKUP($A27,'Master Raw Data'!$A:$A,'Master Raw Data'!$H:$H)</f>
        <v>52.8</v>
      </c>
      <c r="I27" s="10">
        <f>_xlfn.XLOOKUP($A27,'Master Raw Data'!$A:$A,'Master Raw Data'!$H:$H)-_xlfn.XLOOKUP('Macro Regime Monitor'!$A27,'Master Raw Data'!$A:$A,'Master Raw Data'!$I:$I)</f>
        <v>1.2999999999999972</v>
      </c>
      <c r="J27" s="25">
        <f>_xlfn.XLOOKUP($A27,'Master Raw Data'!$A:$A,'Master Raw Data'!$J:$J)</f>
        <v>4.25</v>
      </c>
      <c r="K27" s="25">
        <f>_xlfn.XLOOKUP($A27,'Master Raw Data'!$A:$A,'Master Raw Data'!$K:$K)</f>
        <v>2.5499999999999998</v>
      </c>
      <c r="L27" s="25" t="s">
        <v>201</v>
      </c>
      <c r="M27" s="25">
        <f>_xlfn.XLOOKUP($A27,'Master Raw Data'!$A:$A,'Master Raw Data'!$R:$R)</f>
        <v>0</v>
      </c>
      <c r="N27" s="26">
        <f>_xlfn.XLOOKUP($A27,'Master Raw Data'!$A:$A,'Master Raw Data'!$T:$T)</f>
        <v>5.14</v>
      </c>
      <c r="O27" s="26">
        <f>_xlfn.XLOOKUP($A27,'Master Raw Data'!$A:$A,'Master Raw Data'!$T:$T)-_xlfn.XLOOKUP('Macro Regime Monitor'!$A27,'Master Raw Data'!$A:$A,'Master Raw Data'!$U:$U)</f>
        <v>1.04</v>
      </c>
      <c r="P27" s="79">
        <f>('Master Raw Data'!$V24/'Master Raw Data'!$X24)-1</f>
        <v>4.6959121634224665E-3</v>
      </c>
      <c r="Q27" s="91">
        <f>('Master Raw Data'!Y24/'Master Raw Data'!AA24)-1</f>
        <v>-1.6472532451955124E-2</v>
      </c>
      <c r="R27" s="92">
        <f>_xlfn.XLOOKUP($A27,'Master Raw Data'!$A:$A,'Master Raw Data'!$AB:$AB)</f>
        <v>-0.59999999999999964</v>
      </c>
      <c r="S27" s="99">
        <f>('Master Raw Data'!$V24/'Master Raw Data'!$W24)-1</f>
        <v>4.5077770227168301E-2</v>
      </c>
      <c r="T27" s="96">
        <f>('Master Raw Data'!$Y24/'Master Raw Data'!$Z24)-1</f>
        <v>-1.5527867452842736E-2</v>
      </c>
      <c r="U27" s="99">
        <f>ABS($S27)+ABS($T27)</f>
        <v>6.0605637680011037E-2</v>
      </c>
      <c r="V27" s="81" t="s">
        <v>57</v>
      </c>
      <c r="W27" s="105">
        <f t="shared" si="2"/>
        <v>52.705627705627712</v>
      </c>
      <c r="X27" s="101">
        <f t="shared" si="3"/>
        <v>30.705774518790101</v>
      </c>
      <c r="Y27" s="101">
        <f t="shared" si="20"/>
        <v>54.982011433859398</v>
      </c>
      <c r="Z27" s="101">
        <f t="shared" si="21"/>
        <v>69.098811927204309</v>
      </c>
      <c r="AA27" s="111">
        <f t="shared" si="4"/>
        <v>51.053397185291551</v>
      </c>
      <c r="AB27" s="32">
        <f t="shared" si="5"/>
        <v>17</v>
      </c>
      <c r="AC27" s="32" t="str">
        <f t="shared" si="6"/>
        <v>Recovery</v>
      </c>
      <c r="AK27" s="88">
        <f t="shared" si="7"/>
        <v>28.571428571428577</v>
      </c>
      <c r="AL27" s="88">
        <f t="shared" si="8"/>
        <v>75.000000000000028</v>
      </c>
      <c r="AM27" s="88">
        <f t="shared" si="9"/>
        <v>54.545454545454533</v>
      </c>
      <c r="AO27" s="88">
        <f t="shared" si="10"/>
        <v>30.705774518790101</v>
      </c>
      <c r="AP27" s="88" t="s">
        <v>57</v>
      </c>
      <c r="AR27" s="88">
        <f t="shared" si="12"/>
        <v>85.242408098028775</v>
      </c>
      <c r="AS27" s="88">
        <f t="shared" si="13"/>
        <v>97.583836700687343</v>
      </c>
      <c r="AT27" s="88">
        <f t="shared" si="14"/>
        <v>7.3849489399430537</v>
      </c>
      <c r="AU27">
        <f t="shared" si="15"/>
        <v>69.941271528666533</v>
      </c>
      <c r="AV27">
        <f t="shared" si="16"/>
        <v>14.757591901971226</v>
      </c>
      <c r="AX27" s="88">
        <f t="shared" si="17"/>
        <v>41.643040476793679</v>
      </c>
      <c r="AY27" s="88">
        <f t="shared" si="18"/>
        <v>86.646162699616042</v>
      </c>
      <c r="AZ27" s="102">
        <f t="shared" si="19"/>
        <v>88.915653283202118</v>
      </c>
    </row>
    <row r="29" spans="1:52" x14ac:dyDescent="0.25">
      <c r="A29" s="1" t="s">
        <v>143</v>
      </c>
      <c r="B29" s="1"/>
      <c r="C29" s="1"/>
      <c r="D29" s="1"/>
    </row>
  </sheetData>
  <mergeCells count="7">
    <mergeCell ref="AB4:AE4"/>
    <mergeCell ref="N4:R4"/>
    <mergeCell ref="S4:V4"/>
    <mergeCell ref="J4:M4"/>
    <mergeCell ref="A1:AA1"/>
    <mergeCell ref="B4:I4"/>
    <mergeCell ref="W4:AA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0034-BE32-4BFC-9AA6-D8703DB0C132}">
  <sheetPr codeName="Sheet4"/>
  <dimension ref="A1:J22"/>
  <sheetViews>
    <sheetView topLeftCell="A4" workbookViewId="0">
      <selection activeCell="I14" sqref="I14"/>
    </sheetView>
  </sheetViews>
  <sheetFormatPr defaultRowHeight="15" x14ac:dyDescent="0.25"/>
  <cols>
    <col min="1" max="1" width="12.140625" customWidth="1"/>
    <col min="2" max="2" width="28.42578125" customWidth="1"/>
    <col min="3" max="3" width="10.5703125" bestFit="1" customWidth="1"/>
    <col min="6" max="6" width="12.42578125" bestFit="1" customWidth="1"/>
    <col min="8" max="8" width="11.7109375" bestFit="1" customWidth="1"/>
    <col min="9" max="9" width="16" bestFit="1" customWidth="1"/>
  </cols>
  <sheetData>
    <row r="1" spans="1:10" ht="18.75" x14ac:dyDescent="0.3">
      <c r="A1" s="119" t="s">
        <v>264</v>
      </c>
      <c r="B1" s="27"/>
    </row>
    <row r="2" spans="1:10" x14ac:dyDescent="0.25">
      <c r="I2" s="136"/>
      <c r="J2" s="136"/>
    </row>
    <row r="3" spans="1:10" x14ac:dyDescent="0.25">
      <c r="A3" s="31" t="s">
        <v>0</v>
      </c>
      <c r="B3" s="31" t="s">
        <v>265</v>
      </c>
      <c r="C3" s="31" t="s">
        <v>13</v>
      </c>
      <c r="D3" s="31" t="s">
        <v>288</v>
      </c>
      <c r="E3" s="31" t="s">
        <v>266</v>
      </c>
      <c r="F3" s="31" t="s">
        <v>192</v>
      </c>
      <c r="G3" s="31" t="s">
        <v>14</v>
      </c>
      <c r="H3" s="31" t="s">
        <v>267</v>
      </c>
      <c r="I3" s="31" t="s">
        <v>287</v>
      </c>
    </row>
    <row r="4" spans="1:10" x14ac:dyDescent="0.25">
      <c r="A4" t="s">
        <v>32</v>
      </c>
      <c r="B4" t="s">
        <v>268</v>
      </c>
      <c r="C4">
        <f>_xlfn.XLOOKUP($A4,'Master Raw Data'!$A:$A,'Master Raw Data'!$J:$J)</f>
        <v>3.75</v>
      </c>
      <c r="D4">
        <f>_xlfn.XLOOKUP($A4,'Master Raw Data'!$A:$A,'Master Raw Data'!$B:$B)</f>
        <v>333</v>
      </c>
      <c r="E4">
        <f>_xlfn.XLOOKUP($A4,'Master Raw Data'!$A:$A,'Master Raw Data'!$O:$O)</f>
        <v>2</v>
      </c>
      <c r="F4">
        <f>_xlfn.XLOOKUP($A4,'Master Raw Data'!$A:$A,'Master Raw Data'!$Q:$Q)</f>
        <v>1.7999999999999998</v>
      </c>
      <c r="G4">
        <f>_xlfn.XLOOKUP($A4,'Master Raw Data'!$A:$A,'Master Raw Data'!$K:$K)</f>
        <v>-4.9999999999999822E-2</v>
      </c>
      <c r="H4" t="str">
        <f>IF('Master Raw Data'!$J3&gt;'Master Raw Data'!$S3,"Hike",IF('Master Raw Data'!$J3&lt;'Master Raw Data'!$S3,"Cut","Hold"))</f>
        <v>Hold</v>
      </c>
      <c r="I4" t="str">
        <f>IF(AND($G4&gt;0,$F4&lt;1),"Restrictive",IF(AND($G4&gt;0,$F4&gt;=1),"Fighting Inflation",IF(AND($G4&lt;0,$F4&lt;1),"Accomodative",IF(AND($G4&lt;0,$F4&gt;=1),"Behind the Curve","Neutral"))))</f>
        <v>Behind the Curve</v>
      </c>
    </row>
    <row r="5" spans="1:10" x14ac:dyDescent="0.25">
      <c r="A5" t="s">
        <v>33</v>
      </c>
      <c r="B5" t="s">
        <v>269</v>
      </c>
      <c r="C5">
        <f>_xlfn.XLOOKUP($A5,'Master Raw Data'!$A:$A,'Master Raw Data'!$J:$J)</f>
        <v>2.4</v>
      </c>
      <c r="D5">
        <f>_xlfn.XLOOKUP($A5,'Master Raw Data'!$A:$A,'Master Raw Data'!$B:$B)</f>
        <v>103</v>
      </c>
      <c r="E5">
        <f>_xlfn.XLOOKUP($A5,'Master Raw Data'!$A:$A,'Master Raw Data'!$O:$O)</f>
        <v>2</v>
      </c>
      <c r="F5">
        <f>_xlfn.XLOOKUP($A5,'Master Raw Data'!$A:$A,'Master Raw Data'!$Q:$Q)</f>
        <v>1.2000000000000002</v>
      </c>
      <c r="G5">
        <f>_xlfn.XLOOKUP($A5,'Master Raw Data'!$A:$A,'Master Raw Data'!$K:$K)</f>
        <v>-0.80000000000000027</v>
      </c>
      <c r="H5" t="str">
        <f>IF('Master Raw Data'!$J4&gt;'Master Raw Data'!$S4,"Hike",IF('Master Raw Data'!$J4&lt;'Master Raw Data'!$S4,"Cut","Hold"))</f>
        <v>Hike</v>
      </c>
      <c r="I5" t="str">
        <f t="shared" ref="I5:I22" si="0">IF(AND($G5&gt;0,$F5&lt;1),"Restrictive",IF(AND($G5&gt;0,$F5&gt;=1),"Fighting Inflation",IF(AND($G5&lt;0,$F5&lt;1),"Accomodative",IF(AND($G5&lt;0,$F5&gt;=1),"Behind the Curve","Neutral"))))</f>
        <v>Behind the Curve</v>
      </c>
    </row>
    <row r="6" spans="1:10" x14ac:dyDescent="0.25">
      <c r="A6" t="s">
        <v>34</v>
      </c>
      <c r="B6" t="s">
        <v>270</v>
      </c>
      <c r="C6">
        <f>_xlfn.XLOOKUP($A6,'Master Raw Data'!$A:$A,'Master Raw Data'!$J:$J)</f>
        <v>3.75</v>
      </c>
      <c r="D6">
        <f>_xlfn.XLOOKUP($A6,'Master Raw Data'!$A:$A,'Master Raw Data'!$B:$B)</f>
        <v>142</v>
      </c>
      <c r="E6">
        <f>_xlfn.XLOOKUP($A6,'Master Raw Data'!$A:$A,'Master Raw Data'!$O:$O)</f>
        <v>2</v>
      </c>
      <c r="F6">
        <f>_xlfn.XLOOKUP($A6,'Master Raw Data'!$A:$A,'Master Raw Data'!$Q:$Q)</f>
        <v>0.79999999999999982</v>
      </c>
      <c r="G6">
        <f>_xlfn.XLOOKUP($A6,'Master Raw Data'!$A:$A,'Master Raw Data'!$K:$K)</f>
        <v>0.95000000000000018</v>
      </c>
      <c r="H6" t="str">
        <f>IF('Master Raw Data'!$J5&gt;'Master Raw Data'!$S5,"Hike",IF('Master Raw Data'!$J5&lt;'Master Raw Data'!$S5,"Cut","Hold"))</f>
        <v>Hold</v>
      </c>
      <c r="I6" t="str">
        <f t="shared" si="0"/>
        <v>Restrictive</v>
      </c>
    </row>
    <row r="7" spans="1:10" x14ac:dyDescent="0.25">
      <c r="A7" t="s">
        <v>35</v>
      </c>
      <c r="B7" t="s">
        <v>271</v>
      </c>
      <c r="C7">
        <f>_xlfn.XLOOKUP($A7,'Master Raw Data'!$A:$A,'Master Raw Data'!$J:$J)</f>
        <v>0.75</v>
      </c>
      <c r="D7">
        <f>_xlfn.XLOOKUP($A7,'Master Raw Data'!$A:$A,'Master Raw Data'!$B:$B)</f>
        <v>113</v>
      </c>
      <c r="E7">
        <f>_xlfn.XLOOKUP($A7,'Master Raw Data'!$A:$A,'Master Raw Data'!$O:$O)</f>
        <v>2</v>
      </c>
      <c r="F7">
        <f>_xlfn.XLOOKUP($A7,'Master Raw Data'!$A:$A,'Master Raw Data'!$Q:$Q)</f>
        <v>-0.60000000000000009</v>
      </c>
      <c r="G7">
        <f>_xlfn.XLOOKUP($A7,'Master Raw Data'!$A:$A,'Master Raw Data'!$K:$K)</f>
        <v>-0.64999999999999991</v>
      </c>
      <c r="H7" t="str">
        <f>IF('Master Raw Data'!$J6&gt;'Master Raw Data'!$S6,"Hike",IF('Master Raw Data'!$J6&lt;'Master Raw Data'!$S6,"Cut","Hold"))</f>
        <v>Hold</v>
      </c>
      <c r="I7" t="str">
        <f t="shared" si="0"/>
        <v>Accomodative</v>
      </c>
    </row>
    <row r="8" spans="1:10" x14ac:dyDescent="0.25">
      <c r="A8" t="s">
        <v>36</v>
      </c>
      <c r="B8" t="s">
        <v>277</v>
      </c>
      <c r="C8">
        <f>_xlfn.XLOOKUP($A8,'Master Raw Data'!$A:$A,'Master Raw Data'!$J:$J)</f>
        <v>4.3499999999999996</v>
      </c>
      <c r="D8">
        <f>_xlfn.XLOOKUP($A8,'Master Raw Data'!$A:$A,'Master Raw Data'!$B:$B)</f>
        <v>103</v>
      </c>
      <c r="E8">
        <f>_xlfn.XLOOKUP($A8,'Master Raw Data'!$A:$A,'Master Raw Data'!$O:$O)</f>
        <v>2.5</v>
      </c>
      <c r="F8">
        <f>_xlfn.XLOOKUP($A8,'Master Raw Data'!$A:$A,'Master Raw Data'!$Q:$Q)</f>
        <v>1.7000000000000002</v>
      </c>
      <c r="G8">
        <f>_xlfn.XLOOKUP($A8,'Master Raw Data'!$A:$A,'Master Raw Data'!$K:$K)</f>
        <v>0.14999999999999947</v>
      </c>
      <c r="H8" t="str">
        <f>IF('Master Raw Data'!$J7&gt;'Master Raw Data'!$S7,"Hike",IF('Master Raw Data'!$J7&lt;'Master Raw Data'!$S7,"Cut","Hold"))</f>
        <v>Hike</v>
      </c>
      <c r="I8" t="str">
        <f t="shared" si="0"/>
        <v>Fighting Inflation</v>
      </c>
    </row>
    <row r="9" spans="1:10" x14ac:dyDescent="0.25">
      <c r="A9" t="s">
        <v>38</v>
      </c>
      <c r="B9" t="s">
        <v>273</v>
      </c>
      <c r="C9">
        <f>_xlfn.XLOOKUP($A9,'Master Raw Data'!$A:$A,'Master Raw Data'!$J:$J)</f>
        <v>0</v>
      </c>
      <c r="D9">
        <f>_xlfn.XLOOKUP($A9,'Master Raw Data'!$A:$A,'Master Raw Data'!$B:$B)</f>
        <v>101</v>
      </c>
      <c r="E9">
        <f>_xlfn.XLOOKUP($A9,'Master Raw Data'!$A:$A,'Master Raw Data'!$O:$O)</f>
        <v>2</v>
      </c>
      <c r="F9">
        <f>_xlfn.XLOOKUP($A9,'Master Raw Data'!$A:$A,'Master Raw Data'!$Q:$Q)</f>
        <v>-1.4</v>
      </c>
      <c r="G9">
        <f>_xlfn.XLOOKUP($A9,'Master Raw Data'!$A:$A,'Master Raw Data'!$K:$K)</f>
        <v>-0.6</v>
      </c>
      <c r="H9" t="str">
        <f>IF('Master Raw Data'!$J8&gt;'Master Raw Data'!$S8,"Hike",IF('Master Raw Data'!$J8&lt;'Master Raw Data'!$S8,"Cut","Hold"))</f>
        <v>Hold</v>
      </c>
      <c r="I9" t="str">
        <f t="shared" si="0"/>
        <v>Accomodative</v>
      </c>
    </row>
    <row r="10" spans="1:10" x14ac:dyDescent="0.25">
      <c r="A10" t="s">
        <v>40</v>
      </c>
      <c r="B10" t="s">
        <v>274</v>
      </c>
      <c r="C10">
        <f>_xlfn.XLOOKUP($A10,'Master Raw Data'!$A:$A,'Master Raw Data'!$J:$J)</f>
        <v>4.25</v>
      </c>
      <c r="D10">
        <f>_xlfn.XLOOKUP($A10,'Master Raw Data'!$A:$A,'Master Raw Data'!$B:$B)</f>
        <v>103</v>
      </c>
      <c r="E10">
        <f>_xlfn.XLOOKUP($A10,'Master Raw Data'!$A:$A,'Master Raw Data'!$O:$O)</f>
        <v>2</v>
      </c>
      <c r="F10">
        <f>_xlfn.XLOOKUP($A10,'Master Raw Data'!$A:$A,'Master Raw Data'!$Q:$Q)</f>
        <v>1.4</v>
      </c>
      <c r="G10">
        <f>_xlfn.XLOOKUP($A10,'Master Raw Data'!$A:$A,'Master Raw Data'!$K:$K)</f>
        <v>0.85000000000000009</v>
      </c>
      <c r="H10" t="str">
        <f>IF('Master Raw Data'!$J9&gt;'Master Raw Data'!$S9,"Hike",IF('Master Raw Data'!$J9&lt;'Master Raw Data'!$S9,"Cut","Hold"))</f>
        <v>Hike</v>
      </c>
      <c r="I10" t="str">
        <f t="shared" si="0"/>
        <v>Fighting Inflation</v>
      </c>
    </row>
    <row r="11" spans="1:10" x14ac:dyDescent="0.25">
      <c r="A11" t="s">
        <v>41</v>
      </c>
      <c r="B11" t="s">
        <v>275</v>
      </c>
      <c r="C11">
        <f>_xlfn.XLOOKUP($A11,'Master Raw Data'!$A:$A,'Master Raw Data'!$J:$J)</f>
        <v>2.25</v>
      </c>
      <c r="D11">
        <f>_xlfn.XLOOKUP($A11,'Master Raw Data'!$A:$A,'Master Raw Data'!$B:$B)</f>
        <v>168</v>
      </c>
      <c r="E11">
        <f>_xlfn.XLOOKUP($A11,'Master Raw Data'!$A:$A,'Master Raw Data'!$O:$O)</f>
        <v>2</v>
      </c>
      <c r="F11">
        <f>_xlfn.XLOOKUP($A11,'Master Raw Data'!$A:$A,'Master Raw Data'!$Q:$Q)</f>
        <v>0.79999999999999982</v>
      </c>
      <c r="G11">
        <f>_xlfn.XLOOKUP($A11,'Master Raw Data'!$A:$A,'Master Raw Data'!$K:$K)</f>
        <v>-0.54999999999999982</v>
      </c>
      <c r="H11" t="str">
        <f>IF('Master Raw Data'!$J10&gt;'Master Raw Data'!$S10,"Hike",IF('Master Raw Data'!$J10&lt;'Master Raw Data'!$S10,"Cut","Hold"))</f>
        <v>Hold</v>
      </c>
      <c r="I11" t="str">
        <f t="shared" si="0"/>
        <v>Accomodative</v>
      </c>
    </row>
    <row r="12" spans="1:10" x14ac:dyDescent="0.25">
      <c r="A12" t="s">
        <v>44</v>
      </c>
      <c r="B12" t="s">
        <v>276</v>
      </c>
      <c r="C12">
        <f>_xlfn.XLOOKUP($A12,'Master Raw Data'!$A:$A,'Master Raw Data'!$J:$J)</f>
        <v>3</v>
      </c>
      <c r="D12">
        <f>_xlfn.XLOOKUP($A12,'Master Raw Data'!$A:$A,'Master Raw Data'!$B:$B)</f>
        <v>101</v>
      </c>
      <c r="E12">
        <f>_xlfn.XLOOKUP($A12,'Master Raw Data'!$A:$A,'Master Raw Data'!$O:$O)</f>
        <v>3</v>
      </c>
      <c r="F12">
        <f>_xlfn.XLOOKUP($A12,'Master Raw Data'!$A:$A,'Master Raw Data'!$Q:$Q)</f>
        <v>-1.8</v>
      </c>
      <c r="G12">
        <f>_xlfn.XLOOKUP($A12,'Master Raw Data'!$A:$A,'Master Raw Data'!$K:$K)</f>
        <v>1.8</v>
      </c>
      <c r="H12" t="str">
        <f>IF('Master Raw Data'!$J11&gt;'Master Raw Data'!$S11,"Hike",IF('Master Raw Data'!$J11&lt;'Master Raw Data'!$S11,"Cut","Hold"))</f>
        <v>Hold</v>
      </c>
      <c r="I12" t="str">
        <f t="shared" si="0"/>
        <v>Restrictive</v>
      </c>
    </row>
    <row r="13" spans="1:10" x14ac:dyDescent="0.25">
      <c r="A13" t="s">
        <v>46</v>
      </c>
      <c r="B13" t="s">
        <v>272</v>
      </c>
      <c r="C13">
        <f>_xlfn.XLOOKUP($A13,'Master Raw Data'!$A:$A,'Master Raw Data'!$J:$J)</f>
        <v>5.25</v>
      </c>
      <c r="D13">
        <f>_xlfn.XLOOKUP($A13,'Master Raw Data'!$A:$A,'Master Raw Data'!$B:$B)</f>
        <v>105</v>
      </c>
      <c r="E13">
        <f>_xlfn.XLOOKUP($A13,'Master Raw Data'!$A:$A,'Master Raw Data'!$O:$O)</f>
        <v>4</v>
      </c>
      <c r="F13">
        <f>_xlfn.XLOOKUP($A13,'Master Raw Data'!$A:$A,'Master Raw Data'!$Q:$Q)</f>
        <v>-0.52</v>
      </c>
      <c r="G13">
        <f>_xlfn.XLOOKUP($A13,'Master Raw Data'!$A:$A,'Master Raw Data'!$K:$K)</f>
        <v>1.77</v>
      </c>
      <c r="H13" t="str">
        <f>IF('Master Raw Data'!$J12&gt;'Master Raw Data'!$S12,"Hike",IF('Master Raw Data'!$J12&lt;'Master Raw Data'!$S12,"Cut","Hold"))</f>
        <v>Hold</v>
      </c>
      <c r="I13" t="str">
        <f t="shared" si="0"/>
        <v>Restrictive</v>
      </c>
    </row>
    <row r="14" spans="1:10" x14ac:dyDescent="0.25">
      <c r="A14" t="s">
        <v>48</v>
      </c>
      <c r="B14" t="s">
        <v>278</v>
      </c>
      <c r="C14">
        <f>_xlfn.XLOOKUP($A14,'Master Raw Data'!$A:$A,'Master Raw Data'!$J:$J)</f>
        <v>2.5</v>
      </c>
      <c r="D14">
        <f>_xlfn.XLOOKUP($A14,'Master Raw Data'!$A:$A,'Master Raw Data'!$B:$B)</f>
        <v>120</v>
      </c>
      <c r="E14">
        <f>_xlfn.XLOOKUP($A14,'Master Raw Data'!$A:$A,'Master Raw Data'!$O:$O)</f>
        <v>2</v>
      </c>
      <c r="F14">
        <f>_xlfn.XLOOKUP($A14,'Master Raw Data'!$A:$A,'Master Raw Data'!$Q:$Q)</f>
        <v>1.1000000000000001</v>
      </c>
      <c r="G14">
        <f>_xlfn.XLOOKUP($A14,'Master Raw Data'!$A:$A,'Master Raw Data'!$K:$K)</f>
        <v>-0.60000000000000009</v>
      </c>
      <c r="H14" t="str">
        <f>IF('Master Raw Data'!$J13&gt;'Master Raw Data'!$S13,"Hike",IF('Master Raw Data'!$J13&lt;'Master Raw Data'!$S13,"Cut","Hold"))</f>
        <v>Hold</v>
      </c>
      <c r="I14" t="str">
        <f t="shared" si="0"/>
        <v>Behind the Curve</v>
      </c>
    </row>
    <row r="15" spans="1:10" x14ac:dyDescent="0.25">
      <c r="A15" t="s">
        <v>49</v>
      </c>
      <c r="B15" t="s">
        <v>279</v>
      </c>
      <c r="C15">
        <f>_xlfn.XLOOKUP($A15,'Master Raw Data'!$A:$A,'Master Raw Data'!$J:$J)</f>
        <v>2</v>
      </c>
      <c r="D15">
        <f>_xlfn.XLOOKUP($A15,'Master Raw Data'!$A:$A,'Master Raw Data'!$B:$B)</f>
        <v>111</v>
      </c>
      <c r="E15">
        <f>_xlfn.XLOOKUP($A15,'Master Raw Data'!$A:$A,'Master Raw Data'!$O:$O)</f>
        <v>2</v>
      </c>
      <c r="F15">
        <f>_xlfn.XLOOKUP($A15,'Master Raw Data'!$A:$A,'Master Raw Data'!$Q:$Q)</f>
        <v>-0.26</v>
      </c>
      <c r="G15">
        <f>_xlfn.XLOOKUP($A15,'Master Raw Data'!$A:$A,'Master Raw Data'!$K:$K)</f>
        <v>0.26</v>
      </c>
      <c r="H15" t="str">
        <f>IF('Master Raw Data'!$J14&gt;'Master Raw Data'!$S14,"Hike",IF('Master Raw Data'!$J14&lt;'Master Raw Data'!$S14,"Cut","Hold"))</f>
        <v>Hold</v>
      </c>
      <c r="I15" t="str">
        <f t="shared" si="0"/>
        <v>Restrictive</v>
      </c>
    </row>
    <row r="16" spans="1:10" x14ac:dyDescent="0.25">
      <c r="A16" t="s">
        <v>50</v>
      </c>
      <c r="B16" t="s">
        <v>280</v>
      </c>
      <c r="C16">
        <f>_xlfn.XLOOKUP($A16,'Master Raw Data'!$A:$A,'Master Raw Data'!$J:$J)</f>
        <v>5.5</v>
      </c>
      <c r="D16">
        <f>_xlfn.XLOOKUP($A16,'Master Raw Data'!$A:$A,'Master Raw Data'!$B:$B)</f>
        <v>111</v>
      </c>
      <c r="E16">
        <f>_xlfn.XLOOKUP($A16,'Master Raw Data'!$A:$A,'Master Raw Data'!$O:$O)</f>
        <v>3</v>
      </c>
      <c r="F16">
        <f>_xlfn.XLOOKUP($A16,'Master Raw Data'!$A:$A,'Master Raw Data'!$Q:$Q)</f>
        <v>8.0000000000000071E-2</v>
      </c>
      <c r="G16">
        <f>_xlfn.XLOOKUP($A16,'Master Raw Data'!$A:$A,'Master Raw Data'!$K:$K)</f>
        <v>2.42</v>
      </c>
      <c r="H16" t="str">
        <f>IF('Master Raw Data'!$J15&gt;'Master Raw Data'!$S15,"Hike",IF('Master Raw Data'!$J15&lt;'Master Raw Data'!$S15,"Cut","Hold"))</f>
        <v>Hold</v>
      </c>
      <c r="I16" t="str">
        <f t="shared" si="0"/>
        <v>Restrictive</v>
      </c>
    </row>
    <row r="17" spans="1:9" x14ac:dyDescent="0.25">
      <c r="A17" t="s">
        <v>53</v>
      </c>
      <c r="B17" t="s">
        <v>281</v>
      </c>
      <c r="C17">
        <f>_xlfn.XLOOKUP($A17,'Master Raw Data'!$A:$A,'Master Raw Data'!$J:$J)</f>
        <v>14.5</v>
      </c>
      <c r="D17">
        <f>_xlfn.XLOOKUP($A17,'Master Raw Data'!$A:$A,'Master Raw Data'!$B:$B)</f>
        <v>7596</v>
      </c>
      <c r="E17">
        <f>_xlfn.XLOOKUP($A17,'Master Raw Data'!$A:$A,'Master Raw Data'!$O:$O)</f>
        <v>3.75</v>
      </c>
      <c r="F17">
        <f>_xlfn.XLOOKUP($A17,'Master Raw Data'!$A:$A,'Master Raw Data'!$Q:$Q)</f>
        <v>0.63999999999999968</v>
      </c>
      <c r="G17">
        <f>_xlfn.XLOOKUP($A17,'Master Raw Data'!$A:$A,'Master Raw Data'!$K:$K)</f>
        <v>10.11</v>
      </c>
      <c r="H17" t="str">
        <f>IF('Master Raw Data'!$J16&gt;'Master Raw Data'!$S16,"Hike",IF('Master Raw Data'!$J16&lt;'Master Raw Data'!$S16,"Cut","Hold"))</f>
        <v>Hike</v>
      </c>
      <c r="I17" t="str">
        <f t="shared" si="0"/>
        <v>Restrictive</v>
      </c>
    </row>
    <row r="18" spans="1:9" x14ac:dyDescent="0.25">
      <c r="A18" t="s">
        <v>55</v>
      </c>
      <c r="B18" t="s">
        <v>282</v>
      </c>
      <c r="C18">
        <f>_xlfn.XLOOKUP($A18,'Master Raw Data'!$A:$A,'Master Raw Data'!$J:$J)</f>
        <v>6.5</v>
      </c>
      <c r="D18">
        <f>_xlfn.XLOOKUP($A18,'Master Raw Data'!$A:$A,'Master Raw Data'!$B:$B)</f>
        <v>146</v>
      </c>
      <c r="E18">
        <f>_xlfn.XLOOKUP($A18,'Master Raw Data'!$A:$A,'Master Raw Data'!$O:$O)</f>
        <v>3</v>
      </c>
      <c r="F18">
        <f>_xlfn.XLOOKUP($A18,'Master Raw Data'!$A:$A,'Master Raw Data'!$Q:$Q)</f>
        <v>1.4500000000000002</v>
      </c>
      <c r="G18">
        <f>_xlfn.XLOOKUP($A18,'Master Raw Data'!$A:$A,'Master Raw Data'!$K:$K)</f>
        <v>2.0499999999999998</v>
      </c>
      <c r="H18" t="str">
        <f>IF('Master Raw Data'!$J17&gt;'Master Raw Data'!$S17,"Hike",IF('Master Raw Data'!$J17&lt;'Master Raw Data'!$S17,"Cut","Hold"))</f>
        <v>Hold</v>
      </c>
      <c r="I18" t="str">
        <f t="shared" si="0"/>
        <v>Fighting Inflation</v>
      </c>
    </row>
    <row r="19" spans="1:9" x14ac:dyDescent="0.25">
      <c r="A19" t="s">
        <v>56</v>
      </c>
      <c r="B19" t="s">
        <v>283</v>
      </c>
      <c r="C19">
        <f>_xlfn.XLOOKUP($A19,'Master Raw Data'!$A:$A,'Master Raw Data'!$J:$J)</f>
        <v>4.5</v>
      </c>
      <c r="D19">
        <f>_xlfn.XLOOKUP($A19,'Master Raw Data'!$A:$A,'Master Raw Data'!$B:$B)</f>
        <v>112</v>
      </c>
      <c r="E19">
        <f>_xlfn.XLOOKUP($A19,'Master Raw Data'!$A:$A,'Master Raw Data'!$O:$O)</f>
        <v>3</v>
      </c>
      <c r="F19">
        <f>_xlfn.XLOOKUP($A19,'Master Raw Data'!$A:$A,'Master Raw Data'!$Q:$Q)</f>
        <v>1</v>
      </c>
      <c r="G19">
        <f>_xlfn.XLOOKUP($A19,'Master Raw Data'!$A:$A,'Master Raw Data'!$K:$K)</f>
        <v>0.5</v>
      </c>
      <c r="H19" t="str">
        <f>IF('Master Raw Data'!$J18&gt;'Master Raw Data'!$S18,"Hike",IF('Master Raw Data'!$J18&lt;'Master Raw Data'!$S18,"Cut","Hold"))</f>
        <v>Hold</v>
      </c>
      <c r="I19" t="str">
        <f t="shared" si="0"/>
        <v>Fighting Inflation</v>
      </c>
    </row>
    <row r="20" spans="1:9" x14ac:dyDescent="0.25">
      <c r="A20" t="s">
        <v>59</v>
      </c>
      <c r="B20" t="s">
        <v>284</v>
      </c>
      <c r="C20">
        <f>_xlfn.XLOOKUP($A20,'Master Raw Data'!$A:$A,'Master Raw Data'!$J:$J)</f>
        <v>7</v>
      </c>
      <c r="D20">
        <f>_xlfn.XLOOKUP($A20,'Master Raw Data'!$A:$A,'Master Raw Data'!$B:$B)</f>
        <v>106</v>
      </c>
      <c r="E20">
        <f>_xlfn.XLOOKUP($A20,'Master Raw Data'!$A:$A,'Master Raw Data'!$O:$O)</f>
        <v>4.5</v>
      </c>
      <c r="F20">
        <f>_xlfn.XLOOKUP($A20,'Master Raw Data'!$A:$A,'Master Raw Data'!$Q:$Q)</f>
        <v>-0.5</v>
      </c>
      <c r="G20">
        <f>_xlfn.XLOOKUP($A20,'Master Raw Data'!$A:$A,'Master Raw Data'!$K:$K)</f>
        <v>3</v>
      </c>
      <c r="H20" t="str">
        <f>IF('Master Raw Data'!$J19&gt;'Master Raw Data'!$S19,"Hike",IF('Master Raw Data'!$J19&lt;'Master Raw Data'!$S19,"Cut","Hold"))</f>
        <v>Cut</v>
      </c>
      <c r="I20" t="str">
        <f t="shared" si="0"/>
        <v>Restrictive</v>
      </c>
    </row>
    <row r="21" spans="1:9" x14ac:dyDescent="0.25">
      <c r="A21" t="s">
        <v>61</v>
      </c>
      <c r="B21" t="s">
        <v>285</v>
      </c>
      <c r="C21">
        <f>_xlfn.XLOOKUP($A21,'Master Raw Data'!$A:$A,'Master Raw Data'!$J:$J)</f>
        <v>37</v>
      </c>
      <c r="D21">
        <f>_xlfn.XLOOKUP($A21,'Master Raw Data'!$A:$A,'Master Raw Data'!$B:$B)</f>
        <v>127</v>
      </c>
      <c r="E21">
        <f>_xlfn.XLOOKUP($A21,'Master Raw Data'!$A:$A,'Master Raw Data'!$O:$O)</f>
        <v>5</v>
      </c>
      <c r="F21">
        <f>_xlfn.XLOOKUP($A21,'Master Raw Data'!$A:$A,'Master Raw Data'!$Q:$Q)</f>
        <v>27.369999999999997</v>
      </c>
      <c r="G21">
        <f>_xlfn.XLOOKUP($A21,'Master Raw Data'!$A:$A,'Master Raw Data'!$K:$K)</f>
        <v>4.6300000000000026</v>
      </c>
      <c r="H21" t="str">
        <f>IF('Master Raw Data'!$J20&gt;'Master Raw Data'!$S20,"Hike",IF('Master Raw Data'!$J20&lt;'Master Raw Data'!$S20,"Cut","Hold"))</f>
        <v>Hold</v>
      </c>
      <c r="I21" t="str">
        <f t="shared" si="0"/>
        <v>Fighting Inflation</v>
      </c>
    </row>
    <row r="22" spans="1:9" x14ac:dyDescent="0.25">
      <c r="A22" t="s">
        <v>63</v>
      </c>
      <c r="B22" t="s">
        <v>286</v>
      </c>
      <c r="C22">
        <f>_xlfn.XLOOKUP($A22,'Master Raw Data'!$A:$A,'Master Raw Data'!$J:$J)</f>
        <v>4.25</v>
      </c>
      <c r="D22">
        <f>_xlfn.XLOOKUP($A22,'Master Raw Data'!$A:$A,'Master Raw Data'!$B:$B)</f>
        <v>105</v>
      </c>
      <c r="E22" t="s">
        <v>57</v>
      </c>
      <c r="F22" t="str">
        <f>_xlfn.XLOOKUP($A22,'Master Raw Data'!$A:$A,'Master Raw Data'!$Q:$Q)</f>
        <v>N/A</v>
      </c>
      <c r="G22">
        <f>_xlfn.XLOOKUP($A22,'Master Raw Data'!$A:$A,'Master Raw Data'!$K:$K)</f>
        <v>2.5499999999999998</v>
      </c>
      <c r="H22" t="str">
        <f>IF('Master Raw Data'!$J21&gt;'Master Raw Data'!$S21,"Hike",IF('Master Raw Data'!$J21&lt;'Master Raw Data'!$S21,"Cut","Hold"))</f>
        <v>Hold</v>
      </c>
      <c r="I22" t="str">
        <f t="shared" si="0"/>
        <v>Fighting Inflation</v>
      </c>
    </row>
  </sheetData>
  <mergeCells count="1">
    <mergeCell ref="I2:J2"/>
  </mergeCells>
  <conditionalFormatting sqref="I4:I22">
    <cfRule type="cellIs" dxfId="3" priority="1" operator="equal">
      <formula>"Behind the Curve"</formula>
    </cfRule>
    <cfRule type="cellIs" dxfId="2" priority="2" operator="equal">
      <formula>"Accomodative"</formula>
    </cfRule>
    <cfRule type="cellIs" dxfId="1" priority="3" operator="equal">
      <formula>"Fighting Inflation"</formula>
    </cfRule>
    <cfRule type="cellIs" dxfId="0" priority="4" operator="equal">
      <formula>"Restrictive"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28"/>
  <sheetViews>
    <sheetView workbookViewId="0">
      <pane xSplit="1" ySplit="2" topLeftCell="B13" activePane="bottomRight" state="frozen"/>
      <selection pane="topRight" activeCell="B1" sqref="B1"/>
      <selection pane="bottomLeft" activeCell="A3" sqref="A3"/>
      <selection pane="bottomRight" activeCell="B28" sqref="B28"/>
    </sheetView>
  </sheetViews>
  <sheetFormatPr defaultRowHeight="15" x14ac:dyDescent="0.25"/>
  <cols>
    <col min="1" max="1" width="18.7109375" bestFit="1" customWidth="1"/>
    <col min="2" max="2" width="16.85546875" bestFit="1" customWidth="1"/>
    <col min="3" max="3" width="13.7109375" bestFit="1" customWidth="1"/>
    <col min="4" max="4" width="19.85546875" bestFit="1" customWidth="1"/>
    <col min="5" max="5" width="19.7109375" bestFit="1" customWidth="1"/>
    <col min="6" max="6" width="14.42578125" bestFit="1" customWidth="1"/>
    <col min="7" max="7" width="22.7109375" bestFit="1" customWidth="1"/>
    <col min="8" max="8" width="17.85546875" bestFit="1" customWidth="1"/>
    <col min="9" max="9" width="26.140625" bestFit="1" customWidth="1"/>
    <col min="10" max="10" width="10.5703125" bestFit="1" customWidth="1"/>
    <col min="12" max="12" width="12.7109375" bestFit="1" customWidth="1"/>
    <col min="13" max="13" width="14.42578125" bestFit="1" customWidth="1"/>
    <col min="14" max="16" width="14.42578125" customWidth="1"/>
    <col min="17" max="17" width="13.5703125" bestFit="1" customWidth="1"/>
    <col min="18" max="18" width="17.85546875" bestFit="1" customWidth="1"/>
    <col min="19" max="19" width="18.7109375" bestFit="1" customWidth="1"/>
    <col min="22" max="22" width="18.5703125" bestFit="1" customWidth="1"/>
    <col min="23" max="23" width="9.28515625" bestFit="1" customWidth="1"/>
    <col min="24" max="24" width="10.28515625" bestFit="1" customWidth="1"/>
    <col min="25" max="25" width="10" bestFit="1" customWidth="1"/>
    <col min="26" max="26" width="9.85546875" bestFit="1" customWidth="1"/>
    <col min="27" max="27" width="11.28515625" bestFit="1" customWidth="1"/>
    <col min="28" max="28" width="15.42578125" customWidth="1"/>
  </cols>
  <sheetData>
    <row r="1" spans="1:28" ht="15.75" customHeight="1" thickBot="1" x14ac:dyDescent="0.3">
      <c r="A1" s="28" t="s">
        <v>0</v>
      </c>
      <c r="B1" s="137" t="s">
        <v>1</v>
      </c>
      <c r="C1" s="134"/>
      <c r="D1" s="134"/>
      <c r="E1" s="134"/>
      <c r="F1" s="134"/>
      <c r="G1" s="134"/>
      <c r="H1" s="134"/>
      <c r="I1" s="135"/>
      <c r="J1" s="138" t="s">
        <v>2</v>
      </c>
      <c r="K1" s="134"/>
      <c r="L1" s="134"/>
      <c r="M1" s="134"/>
      <c r="N1" s="134"/>
      <c r="O1" s="134"/>
      <c r="P1" s="134"/>
      <c r="Q1" s="134"/>
      <c r="R1" s="134"/>
      <c r="S1" s="135"/>
      <c r="T1" s="139" t="s">
        <v>3</v>
      </c>
      <c r="U1" s="140"/>
      <c r="V1" s="140"/>
      <c r="W1" s="140"/>
      <c r="X1" s="140"/>
      <c r="Y1" s="140"/>
      <c r="Z1" s="140"/>
      <c r="AA1" s="140"/>
      <c r="AB1" s="140"/>
    </row>
    <row r="2" spans="1:28" ht="15.75" customHeight="1" thickBot="1" x14ac:dyDescent="0.3">
      <c r="A2" s="5" t="s">
        <v>4</v>
      </c>
      <c r="B2" s="53" t="s">
        <v>5</v>
      </c>
      <c r="C2" s="54" t="s">
        <v>6</v>
      </c>
      <c r="D2" s="54" t="s">
        <v>7</v>
      </c>
      <c r="E2" s="55" t="s">
        <v>8</v>
      </c>
      <c r="F2" s="55" t="s">
        <v>9</v>
      </c>
      <c r="G2" s="55" t="s">
        <v>10</v>
      </c>
      <c r="H2" s="55" t="s">
        <v>11</v>
      </c>
      <c r="I2" s="56" t="s">
        <v>12</v>
      </c>
      <c r="J2" s="53" t="s">
        <v>13</v>
      </c>
      <c r="K2" s="54" t="s">
        <v>14</v>
      </c>
      <c r="L2" s="54" t="s">
        <v>15</v>
      </c>
      <c r="M2" s="54" t="s">
        <v>16</v>
      </c>
      <c r="N2" s="54" t="s">
        <v>17</v>
      </c>
      <c r="O2" s="54" t="s">
        <v>18</v>
      </c>
      <c r="P2" s="54" t="s">
        <v>19</v>
      </c>
      <c r="Q2" s="54" t="s">
        <v>20</v>
      </c>
      <c r="R2" s="55" t="s">
        <v>21</v>
      </c>
      <c r="S2" s="56" t="s">
        <v>22</v>
      </c>
      <c r="T2" s="57" t="s">
        <v>23</v>
      </c>
      <c r="U2" s="55" t="s">
        <v>24</v>
      </c>
      <c r="V2" s="55" t="s">
        <v>25</v>
      </c>
      <c r="W2" s="55" t="s">
        <v>26</v>
      </c>
      <c r="X2" s="55" t="s">
        <v>27</v>
      </c>
      <c r="Y2" s="55" t="s">
        <v>28</v>
      </c>
      <c r="Z2" s="55" t="s">
        <v>29</v>
      </c>
      <c r="AA2" s="55" t="s">
        <v>30</v>
      </c>
      <c r="AB2" s="56" t="s">
        <v>31</v>
      </c>
    </row>
    <row r="3" spans="1:28" ht="15.75" thickBot="1" x14ac:dyDescent="0.3">
      <c r="A3" s="36" t="s">
        <v>32</v>
      </c>
      <c r="B3" s="63">
        <v>333</v>
      </c>
      <c r="C3" s="64">
        <v>330</v>
      </c>
      <c r="D3" s="64">
        <v>1.6</v>
      </c>
      <c r="E3" s="64">
        <v>0.5</v>
      </c>
      <c r="F3" s="64">
        <v>4.3</v>
      </c>
      <c r="G3" s="64">
        <v>4.3</v>
      </c>
      <c r="H3" s="64">
        <v>55.1</v>
      </c>
      <c r="I3" s="65">
        <v>54.5</v>
      </c>
      <c r="J3" s="72">
        <v>3.75</v>
      </c>
      <c r="K3" s="33">
        <f t="shared" ref="K3:K10" si="0">J3-L3</f>
        <v>-4.9999999999999822E-2</v>
      </c>
      <c r="L3" s="33">
        <v>3.8</v>
      </c>
      <c r="M3" s="33">
        <v>2</v>
      </c>
      <c r="N3" s="33">
        <v>2</v>
      </c>
      <c r="O3" s="33">
        <v>2</v>
      </c>
      <c r="P3" s="33">
        <v>2</v>
      </c>
      <c r="Q3" s="33">
        <f t="shared" ref="Q3:Q10" si="1">L3-O3</f>
        <v>1.7999999999999998</v>
      </c>
      <c r="R3" s="33">
        <f t="shared" ref="R3:R24" si="2">J3-S3</f>
        <v>0</v>
      </c>
      <c r="S3" s="58">
        <v>3.75</v>
      </c>
      <c r="T3" s="75">
        <v>4.54</v>
      </c>
      <c r="U3" s="74">
        <v>4.1349999999999998</v>
      </c>
      <c r="V3" s="64">
        <v>7394.3</v>
      </c>
      <c r="W3" s="64">
        <v>6632.19</v>
      </c>
      <c r="X3" s="64">
        <v>6022.24</v>
      </c>
      <c r="Y3" s="64">
        <v>1</v>
      </c>
      <c r="Z3" s="64">
        <v>1</v>
      </c>
      <c r="AA3" s="64">
        <v>1</v>
      </c>
      <c r="AB3" s="78">
        <f>$T$3-T3</f>
        <v>0</v>
      </c>
    </row>
    <row r="4" spans="1:28" ht="15.75" thickBot="1" x14ac:dyDescent="0.3">
      <c r="A4" s="37" t="s">
        <v>33</v>
      </c>
      <c r="B4" s="66">
        <v>103</v>
      </c>
      <c r="C4" s="32">
        <v>103</v>
      </c>
      <c r="D4" s="32">
        <v>0.1</v>
      </c>
      <c r="E4" s="32">
        <v>0.2</v>
      </c>
      <c r="F4" s="32">
        <v>6.3</v>
      </c>
      <c r="G4" s="32">
        <v>6.3</v>
      </c>
      <c r="H4" s="32">
        <v>51.6</v>
      </c>
      <c r="I4" s="67">
        <v>52.2</v>
      </c>
      <c r="J4" s="71">
        <v>2.4</v>
      </c>
      <c r="K4" s="32">
        <f t="shared" si="0"/>
        <v>-0.80000000000000027</v>
      </c>
      <c r="L4" s="32">
        <v>3.2</v>
      </c>
      <c r="M4" s="32">
        <v>2</v>
      </c>
      <c r="N4" s="32">
        <v>2</v>
      </c>
      <c r="O4" s="32">
        <v>2</v>
      </c>
      <c r="P4" s="32">
        <v>2</v>
      </c>
      <c r="Q4" s="32">
        <f t="shared" si="1"/>
        <v>1.2000000000000002</v>
      </c>
      <c r="R4" s="32">
        <f t="shared" si="2"/>
        <v>0.25</v>
      </c>
      <c r="S4" s="59">
        <v>2.15</v>
      </c>
      <c r="T4" s="76">
        <v>3.0510000000000002</v>
      </c>
      <c r="U4" s="73">
        <v>2.681</v>
      </c>
      <c r="V4" s="32">
        <v>6056.96</v>
      </c>
      <c r="W4" s="32">
        <v>5837.17</v>
      </c>
      <c r="X4" s="32">
        <v>5430.17</v>
      </c>
      <c r="Y4" s="32">
        <v>0.8669</v>
      </c>
      <c r="Z4" s="32">
        <v>0.86960000000000004</v>
      </c>
      <c r="AA4" s="32">
        <v>0.86950000000000005</v>
      </c>
      <c r="AB4" s="78">
        <f t="shared" ref="AB4:AB24" si="3">$T$3-T4</f>
        <v>1.4889999999999999</v>
      </c>
    </row>
    <row r="5" spans="1:28" ht="15.75" thickBot="1" x14ac:dyDescent="0.3">
      <c r="A5" s="37" t="s">
        <v>34</v>
      </c>
      <c r="B5" s="66">
        <v>142</v>
      </c>
      <c r="C5" s="32">
        <v>141</v>
      </c>
      <c r="D5" s="32">
        <v>0.6</v>
      </c>
      <c r="E5" s="32">
        <v>0.2</v>
      </c>
      <c r="F5" s="32">
        <v>5</v>
      </c>
      <c r="G5" s="32">
        <v>4.9000000000000004</v>
      </c>
      <c r="H5" s="32">
        <v>53.9</v>
      </c>
      <c r="I5" s="67">
        <v>53.7</v>
      </c>
      <c r="J5" s="71">
        <v>3.75</v>
      </c>
      <c r="K5" s="32">
        <f t="shared" si="0"/>
        <v>0.95000000000000018</v>
      </c>
      <c r="L5" s="32">
        <v>2.8</v>
      </c>
      <c r="M5" s="32">
        <v>2</v>
      </c>
      <c r="N5" s="32">
        <v>2</v>
      </c>
      <c r="O5" s="32">
        <v>2</v>
      </c>
      <c r="P5" s="32">
        <v>2</v>
      </c>
      <c r="Q5" s="32">
        <f t="shared" si="1"/>
        <v>0.79999999999999982</v>
      </c>
      <c r="R5" s="32">
        <f t="shared" si="2"/>
        <v>0</v>
      </c>
      <c r="S5" s="59">
        <v>3.75</v>
      </c>
      <c r="T5" s="76">
        <v>4.9539999999999997</v>
      </c>
      <c r="U5" s="73">
        <v>4.3819999999999997</v>
      </c>
      <c r="V5" s="32">
        <v>10303.9</v>
      </c>
      <c r="W5" s="32">
        <v>10353.799999999999</v>
      </c>
      <c r="X5" s="32">
        <v>8850.6</v>
      </c>
      <c r="Y5" s="32">
        <v>0.74839999999999995</v>
      </c>
      <c r="Z5" s="32">
        <v>0.75109999999999999</v>
      </c>
      <c r="AA5" s="32">
        <v>0.74429999999999996</v>
      </c>
      <c r="AB5" s="78">
        <f t="shared" si="3"/>
        <v>-0.4139999999999997</v>
      </c>
    </row>
    <row r="6" spans="1:28" ht="15.75" thickBot="1" x14ac:dyDescent="0.3">
      <c r="A6" s="37" t="s">
        <v>35</v>
      </c>
      <c r="B6" s="66">
        <v>113</v>
      </c>
      <c r="C6" s="32">
        <v>113</v>
      </c>
      <c r="D6" s="32">
        <v>0.5</v>
      </c>
      <c r="E6" s="32">
        <v>0.2</v>
      </c>
      <c r="F6" s="32">
        <v>2.5</v>
      </c>
      <c r="G6" s="32">
        <v>2.7</v>
      </c>
      <c r="H6" s="32">
        <v>54.5</v>
      </c>
      <c r="I6" s="67">
        <v>55.1</v>
      </c>
      <c r="J6" s="71">
        <v>0.75</v>
      </c>
      <c r="K6" s="32">
        <f t="shared" si="0"/>
        <v>-0.64999999999999991</v>
      </c>
      <c r="L6" s="32">
        <v>1.4</v>
      </c>
      <c r="M6" s="32">
        <v>2</v>
      </c>
      <c r="N6" s="32">
        <v>2</v>
      </c>
      <c r="O6" s="32">
        <v>2</v>
      </c>
      <c r="P6" s="32">
        <v>2</v>
      </c>
      <c r="Q6" s="32">
        <f t="shared" si="1"/>
        <v>-0.60000000000000009</v>
      </c>
      <c r="R6" s="32">
        <f t="shared" si="2"/>
        <v>0</v>
      </c>
      <c r="S6" s="59">
        <v>0.75</v>
      </c>
      <c r="T6" s="66">
        <v>2.6859999999999999</v>
      </c>
      <c r="U6" s="32">
        <v>1.4139999999999999</v>
      </c>
      <c r="V6" s="32">
        <v>66020.039999999994</v>
      </c>
      <c r="W6" s="32">
        <v>55025.37</v>
      </c>
      <c r="X6" s="32">
        <v>37470.67</v>
      </c>
      <c r="Y6" s="32">
        <v>160.52699999999999</v>
      </c>
      <c r="Z6" s="32">
        <v>159.10499999999999</v>
      </c>
      <c r="AA6" s="32">
        <v>146.22399999999999</v>
      </c>
      <c r="AB6" s="78">
        <f t="shared" si="3"/>
        <v>1.8540000000000001</v>
      </c>
    </row>
    <row r="7" spans="1:28" ht="15.75" thickBot="1" x14ac:dyDescent="0.3">
      <c r="A7" s="37" t="s">
        <v>36</v>
      </c>
      <c r="B7" s="66">
        <v>103</v>
      </c>
      <c r="C7" s="32">
        <v>102</v>
      </c>
      <c r="D7" s="32">
        <v>0.3</v>
      </c>
      <c r="E7" s="32">
        <v>0.9</v>
      </c>
      <c r="F7" s="32">
        <v>4.5</v>
      </c>
      <c r="G7" s="32">
        <v>4.3</v>
      </c>
      <c r="H7" s="32">
        <v>50.7</v>
      </c>
      <c r="I7" s="67">
        <v>51.3</v>
      </c>
      <c r="J7" s="71">
        <v>4.3499999999999996</v>
      </c>
      <c r="K7" s="32">
        <f t="shared" si="0"/>
        <v>0.14999999999999947</v>
      </c>
      <c r="L7" s="32">
        <v>4.2</v>
      </c>
      <c r="M7" s="32" t="s">
        <v>37</v>
      </c>
      <c r="N7" s="32">
        <v>2</v>
      </c>
      <c r="O7" s="32">
        <v>2.5</v>
      </c>
      <c r="P7" s="32">
        <v>3</v>
      </c>
      <c r="Q7" s="32">
        <f t="shared" si="1"/>
        <v>1.7000000000000002</v>
      </c>
      <c r="R7" s="32">
        <f t="shared" si="2"/>
        <v>0.25</v>
      </c>
      <c r="S7" s="59">
        <v>4.0999999999999996</v>
      </c>
      <c r="T7" s="66">
        <v>4.8929999999999998</v>
      </c>
      <c r="U7" s="32">
        <v>4.54</v>
      </c>
      <c r="V7" s="32">
        <v>8804</v>
      </c>
      <c r="W7" s="32">
        <v>8617.1</v>
      </c>
      <c r="X7" s="32">
        <v>8541.2999999999993</v>
      </c>
      <c r="Y7" s="32">
        <v>1.4298</v>
      </c>
      <c r="Z7" s="32">
        <v>1.4147000000000001</v>
      </c>
      <c r="AA7" s="32">
        <v>1.5511999999999999</v>
      </c>
      <c r="AB7" s="78">
        <f t="shared" si="3"/>
        <v>-0.35299999999999976</v>
      </c>
    </row>
    <row r="8" spans="1:28" ht="15.75" thickBot="1" x14ac:dyDescent="0.3">
      <c r="A8" s="37" t="s">
        <v>38</v>
      </c>
      <c r="B8" s="66">
        <v>101</v>
      </c>
      <c r="C8" s="32">
        <v>101</v>
      </c>
      <c r="D8" s="32">
        <v>0.4</v>
      </c>
      <c r="E8" s="32">
        <v>0.2</v>
      </c>
      <c r="F8" s="32">
        <v>3</v>
      </c>
      <c r="G8" s="32">
        <v>3.1</v>
      </c>
      <c r="H8" s="32">
        <v>57.3</v>
      </c>
      <c r="I8" s="67">
        <v>54.5</v>
      </c>
      <c r="J8" s="71">
        <v>0</v>
      </c>
      <c r="K8" s="32">
        <f t="shared" si="0"/>
        <v>-0.6</v>
      </c>
      <c r="L8" s="32">
        <v>0.6</v>
      </c>
      <c r="M8" s="32" t="s">
        <v>39</v>
      </c>
      <c r="N8" s="32">
        <v>0</v>
      </c>
      <c r="O8" s="32">
        <v>2</v>
      </c>
      <c r="P8" s="32">
        <v>2</v>
      </c>
      <c r="Q8" s="32">
        <f t="shared" si="1"/>
        <v>-1.4</v>
      </c>
      <c r="R8" s="32">
        <f t="shared" si="2"/>
        <v>0</v>
      </c>
      <c r="S8" s="59">
        <v>0</v>
      </c>
      <c r="T8" s="66">
        <v>0.43099999999999999</v>
      </c>
      <c r="U8" s="32">
        <v>0.124</v>
      </c>
      <c r="V8" s="32">
        <v>13529.65</v>
      </c>
      <c r="W8" s="32">
        <v>13065.19</v>
      </c>
      <c r="X8" s="32">
        <v>12366.17</v>
      </c>
      <c r="Y8" s="32">
        <v>0.8</v>
      </c>
      <c r="Z8" s="32">
        <v>0.78800000000000003</v>
      </c>
      <c r="AA8" s="32">
        <v>0.81769999999999998</v>
      </c>
      <c r="AB8" s="78">
        <f t="shared" si="3"/>
        <v>4.109</v>
      </c>
    </row>
    <row r="9" spans="1:28" ht="15.75" thickBot="1" x14ac:dyDescent="0.3">
      <c r="A9" s="37" t="s">
        <v>40</v>
      </c>
      <c r="B9" s="66">
        <v>103</v>
      </c>
      <c r="C9" s="32">
        <v>102</v>
      </c>
      <c r="D9" s="32">
        <v>0.4</v>
      </c>
      <c r="E9" s="32">
        <v>-0.6</v>
      </c>
      <c r="F9" s="32">
        <v>4.5999999999999996</v>
      </c>
      <c r="G9" s="32">
        <v>4.9000000000000004</v>
      </c>
      <c r="H9" s="32">
        <v>53</v>
      </c>
      <c r="I9" s="67">
        <v>47.7</v>
      </c>
      <c r="J9" s="71">
        <v>4.25</v>
      </c>
      <c r="K9" s="32">
        <f t="shared" si="0"/>
        <v>0.85000000000000009</v>
      </c>
      <c r="L9" s="32">
        <v>3.4</v>
      </c>
      <c r="M9" s="32">
        <v>2</v>
      </c>
      <c r="N9" s="32">
        <v>2</v>
      </c>
      <c r="O9" s="32">
        <v>2</v>
      </c>
      <c r="P9" s="32">
        <v>2</v>
      </c>
      <c r="Q9" s="32">
        <f t="shared" si="1"/>
        <v>1.4</v>
      </c>
      <c r="R9" s="32">
        <f t="shared" si="2"/>
        <v>0.25</v>
      </c>
      <c r="S9" s="59">
        <v>4</v>
      </c>
      <c r="T9" s="66">
        <v>4.41</v>
      </c>
      <c r="U9" s="32">
        <v>4.6040000000000001</v>
      </c>
      <c r="V9" s="32">
        <v>1952.41</v>
      </c>
      <c r="W9" s="32">
        <v>1850.81</v>
      </c>
      <c r="X9" s="32">
        <v>1503.35</v>
      </c>
      <c r="Y9" s="32">
        <v>9.4669000000000008</v>
      </c>
      <c r="Z9" s="32">
        <v>9.6731999999999996</v>
      </c>
      <c r="AA9" s="32">
        <v>10.100899999999999</v>
      </c>
      <c r="AB9" s="78">
        <f t="shared" si="3"/>
        <v>0.12999999999999989</v>
      </c>
    </row>
    <row r="10" spans="1:28" ht="15.75" thickBot="1" x14ac:dyDescent="0.3">
      <c r="A10" s="38" t="s">
        <v>41</v>
      </c>
      <c r="B10" s="66">
        <v>168</v>
      </c>
      <c r="C10" s="32">
        <v>167</v>
      </c>
      <c r="D10" s="32">
        <v>0</v>
      </c>
      <c r="E10" s="32">
        <v>-0.2</v>
      </c>
      <c r="F10" s="32">
        <v>6.9</v>
      </c>
      <c r="G10" s="32">
        <v>6.7</v>
      </c>
      <c r="H10" s="32">
        <v>52.9</v>
      </c>
      <c r="I10" s="67">
        <v>53.3</v>
      </c>
      <c r="J10" s="71">
        <v>2.25</v>
      </c>
      <c r="K10" s="32">
        <f t="shared" si="0"/>
        <v>-0.54999999999999982</v>
      </c>
      <c r="L10" s="32">
        <v>2.8</v>
      </c>
      <c r="M10" s="51" t="s">
        <v>42</v>
      </c>
      <c r="N10" s="51">
        <v>1</v>
      </c>
      <c r="O10" s="51">
        <v>2</v>
      </c>
      <c r="P10" s="51">
        <v>3</v>
      </c>
      <c r="Q10" s="32">
        <f t="shared" si="1"/>
        <v>0.79999999999999982</v>
      </c>
      <c r="R10" s="32">
        <f t="shared" si="2"/>
        <v>0</v>
      </c>
      <c r="S10" s="60">
        <v>2.25</v>
      </c>
      <c r="T10" s="66">
        <v>3.4990000000000001</v>
      </c>
      <c r="U10" s="32">
        <v>2.8580000000000001</v>
      </c>
      <c r="V10" s="32">
        <v>34671.5</v>
      </c>
      <c r="W10" s="32">
        <v>32541.9</v>
      </c>
      <c r="X10" s="32">
        <v>26524.2</v>
      </c>
      <c r="Y10" s="32">
        <v>1.3947000000000001</v>
      </c>
      <c r="Z10" s="32">
        <v>1.3684000000000001</v>
      </c>
      <c r="AA10" s="32">
        <v>1.3738999999999999</v>
      </c>
      <c r="AB10" s="78">
        <f t="shared" si="3"/>
        <v>1.0409999999999999</v>
      </c>
    </row>
    <row r="11" spans="1:28" ht="15.75" thickBot="1" x14ac:dyDescent="0.3">
      <c r="A11" s="39" t="s">
        <v>43</v>
      </c>
      <c r="B11" s="66"/>
      <c r="C11" s="32"/>
      <c r="D11" s="32"/>
      <c r="E11" s="32"/>
      <c r="F11" s="32"/>
      <c r="G11" s="32"/>
      <c r="H11" s="32"/>
      <c r="I11" s="67"/>
      <c r="J11" s="71"/>
      <c r="K11" s="32"/>
      <c r="L11" s="32"/>
      <c r="M11" s="32"/>
      <c r="N11" s="32"/>
      <c r="O11" s="32"/>
      <c r="P11" s="32"/>
      <c r="Q11" s="32"/>
      <c r="R11" s="32">
        <f t="shared" si="2"/>
        <v>0</v>
      </c>
      <c r="S11" s="61"/>
      <c r="T11" s="66"/>
      <c r="U11" s="32"/>
      <c r="V11" s="32"/>
      <c r="W11" s="32"/>
      <c r="X11" s="32"/>
      <c r="Y11" s="32"/>
      <c r="Z11" s="32"/>
      <c r="AA11" s="32"/>
      <c r="AB11" s="78">
        <f t="shared" si="3"/>
        <v>4.54</v>
      </c>
    </row>
    <row r="12" spans="1:28" ht="15.75" thickBot="1" x14ac:dyDescent="0.3">
      <c r="A12" s="40" t="s">
        <v>44</v>
      </c>
      <c r="B12" s="66">
        <v>101</v>
      </c>
      <c r="C12" s="32">
        <v>101</v>
      </c>
      <c r="D12" s="32">
        <v>1.3</v>
      </c>
      <c r="E12" s="32">
        <v>1.2</v>
      </c>
      <c r="F12" s="32">
        <v>5.2</v>
      </c>
      <c r="G12" s="32">
        <v>5.4</v>
      </c>
      <c r="H12" s="32">
        <v>51.8</v>
      </c>
      <c r="I12" s="67">
        <v>52.2</v>
      </c>
      <c r="J12" s="71">
        <v>3</v>
      </c>
      <c r="K12" s="32">
        <f>J12-L12</f>
        <v>1.8</v>
      </c>
      <c r="L12" s="32">
        <v>1.2</v>
      </c>
      <c r="M12" s="32" t="s">
        <v>45</v>
      </c>
      <c r="N12" s="32">
        <v>3</v>
      </c>
      <c r="O12" s="32">
        <v>3</v>
      </c>
      <c r="P12" s="32">
        <v>3</v>
      </c>
      <c r="Q12" s="32">
        <f>L12-O12</f>
        <v>-1.8</v>
      </c>
      <c r="R12" s="32">
        <f t="shared" si="2"/>
        <v>0</v>
      </c>
      <c r="S12" s="59">
        <v>3</v>
      </c>
      <c r="T12" s="66">
        <v>1.7490000000000001</v>
      </c>
      <c r="U12" s="32">
        <v>1.27</v>
      </c>
      <c r="V12" s="32">
        <v>4777.32</v>
      </c>
      <c r="W12" s="32">
        <v>4687.5600000000004</v>
      </c>
      <c r="X12" s="32">
        <v>3840.23</v>
      </c>
      <c r="Y12" s="32">
        <v>6.7725</v>
      </c>
      <c r="Z12" s="32">
        <v>6.9554999999999998</v>
      </c>
      <c r="AA12" s="32">
        <v>7.1879999999999997</v>
      </c>
      <c r="AB12" s="78">
        <f t="shared" si="3"/>
        <v>2.7909999999999999</v>
      </c>
    </row>
    <row r="13" spans="1:28" ht="15.75" thickBot="1" x14ac:dyDescent="0.3">
      <c r="A13" s="41" t="s">
        <v>46</v>
      </c>
      <c r="B13" s="66">
        <v>105</v>
      </c>
      <c r="C13" s="32">
        <v>105</v>
      </c>
      <c r="D13" s="32">
        <v>1.8</v>
      </c>
      <c r="E13" s="32">
        <v>2.1</v>
      </c>
      <c r="F13" s="32">
        <v>5.2</v>
      </c>
      <c r="G13" s="32">
        <v>5.0999999999999996</v>
      </c>
      <c r="H13" s="32">
        <v>55</v>
      </c>
      <c r="I13" s="67">
        <v>54.7</v>
      </c>
      <c r="J13" s="71">
        <v>5.25</v>
      </c>
      <c r="K13" s="32">
        <f>J13-L13</f>
        <v>1.77</v>
      </c>
      <c r="L13" s="32">
        <v>3.48</v>
      </c>
      <c r="M13" s="52" t="s">
        <v>47</v>
      </c>
      <c r="N13" s="52">
        <v>2</v>
      </c>
      <c r="O13" s="52">
        <v>4</v>
      </c>
      <c r="P13" s="52">
        <v>6</v>
      </c>
      <c r="Q13" s="32">
        <f>L13-O13</f>
        <v>-0.52</v>
      </c>
      <c r="R13" s="32">
        <f t="shared" si="2"/>
        <v>0</v>
      </c>
      <c r="S13" s="62">
        <v>5.25</v>
      </c>
      <c r="T13" s="66">
        <v>6.9130000000000003</v>
      </c>
      <c r="U13" s="32">
        <v>6.258</v>
      </c>
      <c r="V13" s="32">
        <v>23553.200000000001</v>
      </c>
      <c r="W13" s="32">
        <v>24261.599999999999</v>
      </c>
      <c r="X13" s="32">
        <v>24750.9</v>
      </c>
      <c r="Y13" s="32">
        <v>95.644499999999994</v>
      </c>
      <c r="Z13" s="32">
        <v>92.282700000000006</v>
      </c>
      <c r="AA13" s="32">
        <v>86.580299999999994</v>
      </c>
      <c r="AB13" s="78">
        <f t="shared" si="3"/>
        <v>-2.3730000000000002</v>
      </c>
    </row>
    <row r="14" spans="1:28" ht="15.75" thickBot="1" x14ac:dyDescent="0.3">
      <c r="A14" s="41" t="s">
        <v>48</v>
      </c>
      <c r="B14" s="66">
        <v>120</v>
      </c>
      <c r="C14" s="32">
        <v>119</v>
      </c>
      <c r="D14" s="32">
        <v>1.7</v>
      </c>
      <c r="E14" s="32">
        <v>-0.2</v>
      </c>
      <c r="F14" s="32">
        <v>2.8</v>
      </c>
      <c r="G14" s="32">
        <v>2.7</v>
      </c>
      <c r="H14" s="32">
        <v>54.8</v>
      </c>
      <c r="I14" s="67">
        <v>53.6</v>
      </c>
      <c r="J14" s="71">
        <v>2.5</v>
      </c>
      <c r="K14" s="32">
        <f>J14-L14</f>
        <v>-0.60000000000000009</v>
      </c>
      <c r="L14" s="32">
        <v>3.1</v>
      </c>
      <c r="M14" s="32">
        <v>2</v>
      </c>
      <c r="N14" s="32">
        <v>2</v>
      </c>
      <c r="O14" s="32">
        <v>2</v>
      </c>
      <c r="P14" s="32">
        <v>2</v>
      </c>
      <c r="Q14" s="32">
        <f>L14-O14</f>
        <v>1.1000000000000001</v>
      </c>
      <c r="R14" s="32">
        <f t="shared" si="2"/>
        <v>0</v>
      </c>
      <c r="S14" s="59">
        <v>2.5</v>
      </c>
      <c r="T14" s="66">
        <v>4.2759999999999998</v>
      </c>
      <c r="U14" s="32">
        <v>3.73</v>
      </c>
      <c r="V14" s="32">
        <v>8123.62</v>
      </c>
      <c r="W14" s="32">
        <v>5583.25</v>
      </c>
      <c r="X14" s="32">
        <v>2697.67</v>
      </c>
      <c r="Y14" s="32">
        <v>1525.05</v>
      </c>
      <c r="Z14" s="32">
        <v>1488.91</v>
      </c>
      <c r="AA14" s="32">
        <v>1369.47</v>
      </c>
      <c r="AB14" s="78">
        <f t="shared" si="3"/>
        <v>0.26400000000000023</v>
      </c>
    </row>
    <row r="15" spans="1:28" ht="15.75" thickBot="1" x14ac:dyDescent="0.3">
      <c r="A15" s="41" t="s">
        <v>49</v>
      </c>
      <c r="B15" s="66">
        <v>111</v>
      </c>
      <c r="C15" s="32">
        <v>110</v>
      </c>
      <c r="D15" s="32">
        <v>1.69</v>
      </c>
      <c r="E15" s="32">
        <v>6.51</v>
      </c>
      <c r="F15" s="32">
        <v>3.34</v>
      </c>
      <c r="G15" s="32">
        <v>3.35</v>
      </c>
      <c r="H15" s="32">
        <v>56.1</v>
      </c>
      <c r="I15" s="67">
        <v>55.3</v>
      </c>
      <c r="J15" s="71">
        <v>2</v>
      </c>
      <c r="K15" s="32">
        <f>J15-L15</f>
        <v>0.26</v>
      </c>
      <c r="L15" s="32">
        <v>1.74</v>
      </c>
      <c r="M15" s="32"/>
      <c r="N15" s="32">
        <v>2</v>
      </c>
      <c r="O15" s="32">
        <v>2</v>
      </c>
      <c r="P15" s="32">
        <v>2</v>
      </c>
      <c r="Q15" s="32">
        <f>L15-O15</f>
        <v>-0.26</v>
      </c>
      <c r="R15" s="32">
        <f t="shared" si="2"/>
        <v>0</v>
      </c>
      <c r="S15" s="59">
        <v>2</v>
      </c>
      <c r="T15" s="66">
        <v>1.79</v>
      </c>
      <c r="U15" s="32">
        <v>1.58</v>
      </c>
      <c r="V15" s="32">
        <v>44169.04</v>
      </c>
      <c r="W15" s="32">
        <v>33400.32</v>
      </c>
      <c r="X15" s="32">
        <v>21126.93</v>
      </c>
      <c r="Y15" s="32">
        <v>31.649799999999999</v>
      </c>
      <c r="Z15" s="32">
        <v>31.945</v>
      </c>
      <c r="AA15" s="32">
        <v>29.533000000000001</v>
      </c>
      <c r="AB15" s="78">
        <f t="shared" si="3"/>
        <v>2.75</v>
      </c>
    </row>
    <row r="16" spans="1:28" ht="15.75" thickBot="1" x14ac:dyDescent="0.3">
      <c r="A16" s="42" t="s">
        <v>50</v>
      </c>
      <c r="B16" s="66">
        <v>111</v>
      </c>
      <c r="C16" s="32">
        <v>111</v>
      </c>
      <c r="D16" s="32">
        <v>-0.77</v>
      </c>
      <c r="E16" s="32">
        <v>0.86</v>
      </c>
      <c r="F16" s="32">
        <v>4.68</v>
      </c>
      <c r="G16" s="32">
        <v>4.8499999999999996</v>
      </c>
      <c r="H16" s="32">
        <v>50</v>
      </c>
      <c r="I16" s="67">
        <v>49.1</v>
      </c>
      <c r="J16" s="71">
        <v>5.5</v>
      </c>
      <c r="K16" s="32">
        <f>J16-L16</f>
        <v>2.42</v>
      </c>
      <c r="L16" s="32">
        <v>3.08</v>
      </c>
      <c r="M16" s="51" t="s">
        <v>51</v>
      </c>
      <c r="N16" s="51">
        <v>2</v>
      </c>
      <c r="O16" s="51">
        <v>3</v>
      </c>
      <c r="P16" s="51">
        <v>4</v>
      </c>
      <c r="Q16" s="32">
        <f>L16-O16</f>
        <v>8.0000000000000071E-2</v>
      </c>
      <c r="R16" s="32">
        <f t="shared" si="2"/>
        <v>0.25</v>
      </c>
      <c r="S16" s="60">
        <v>5.25</v>
      </c>
      <c r="T16" s="66">
        <v>7.4790000000000001</v>
      </c>
      <c r="U16" s="32">
        <v>6.9039999999999999</v>
      </c>
      <c r="V16" s="32">
        <v>6033.16</v>
      </c>
      <c r="W16" s="32">
        <v>8016.83</v>
      </c>
      <c r="X16" s="32">
        <v>7142.46</v>
      </c>
      <c r="Y16" s="32">
        <v>17875.900399999999</v>
      </c>
      <c r="Z16" s="32">
        <v>16953.099600000001</v>
      </c>
      <c r="AA16" s="32">
        <v>16431</v>
      </c>
      <c r="AB16" s="78">
        <f t="shared" si="3"/>
        <v>-2.9390000000000001</v>
      </c>
    </row>
    <row r="17" spans="1:28" ht="15.75" thickBot="1" x14ac:dyDescent="0.3">
      <c r="A17" s="43" t="s">
        <v>52</v>
      </c>
      <c r="B17" s="66"/>
      <c r="C17" s="32"/>
      <c r="D17" s="32"/>
      <c r="E17" s="32"/>
      <c r="F17" s="32"/>
      <c r="G17" s="32"/>
      <c r="H17" s="32"/>
      <c r="I17" s="67"/>
      <c r="J17" s="71"/>
      <c r="K17" s="32"/>
      <c r="L17" s="32"/>
      <c r="M17" s="32"/>
      <c r="N17" s="32"/>
      <c r="O17" s="32"/>
      <c r="P17" s="32"/>
      <c r="Q17" s="32"/>
      <c r="R17" s="32">
        <f t="shared" si="2"/>
        <v>0</v>
      </c>
      <c r="S17" s="61"/>
      <c r="T17" s="66"/>
      <c r="U17" s="32"/>
      <c r="V17" s="32"/>
      <c r="W17" s="32"/>
      <c r="X17" s="32"/>
      <c r="Y17" s="32"/>
      <c r="Z17" s="32"/>
      <c r="AA17" s="32"/>
      <c r="AB17" s="78">
        <f t="shared" si="3"/>
        <v>4.54</v>
      </c>
    </row>
    <row r="18" spans="1:28" ht="15.75" thickBot="1" x14ac:dyDescent="0.3">
      <c r="A18" s="44" t="s">
        <v>53</v>
      </c>
      <c r="B18" s="66">
        <v>7596</v>
      </c>
      <c r="C18" s="32">
        <v>7546</v>
      </c>
      <c r="D18" s="32">
        <v>1.1000000000000001</v>
      </c>
      <c r="E18" s="32">
        <v>0.3</v>
      </c>
      <c r="F18" s="32">
        <v>5.8</v>
      </c>
      <c r="G18" s="32">
        <v>6.1</v>
      </c>
      <c r="H18" s="32">
        <v>49.1</v>
      </c>
      <c r="I18" s="67">
        <v>52.6</v>
      </c>
      <c r="J18" s="71">
        <v>14.5</v>
      </c>
      <c r="K18" s="32">
        <f>J18-L18</f>
        <v>10.11</v>
      </c>
      <c r="L18" s="32">
        <v>4.3899999999999997</v>
      </c>
      <c r="M18" s="51" t="s">
        <v>54</v>
      </c>
      <c r="N18" s="51">
        <v>2.25</v>
      </c>
      <c r="O18" s="51">
        <v>3.75</v>
      </c>
      <c r="P18" s="51">
        <v>5.25</v>
      </c>
      <c r="Q18" s="32">
        <f>L18-O18</f>
        <v>0.63999999999999968</v>
      </c>
      <c r="R18" s="32">
        <f t="shared" si="2"/>
        <v>0</v>
      </c>
      <c r="S18" s="60">
        <v>14.5</v>
      </c>
      <c r="T18" s="66">
        <v>14.803000000000001</v>
      </c>
      <c r="U18" s="32">
        <v>14.877000000000001</v>
      </c>
      <c r="V18" s="32">
        <v>171497</v>
      </c>
      <c r="W18" s="32">
        <v>183969</v>
      </c>
      <c r="X18" s="32">
        <v>135699</v>
      </c>
      <c r="Y18" s="32">
        <v>5.1920999999999999</v>
      </c>
      <c r="Z18" s="32">
        <v>5.2333999999999996</v>
      </c>
      <c r="AA18" s="32">
        <v>5.5183999999999997</v>
      </c>
      <c r="AB18" s="78">
        <f t="shared" si="3"/>
        <v>-10.263000000000002</v>
      </c>
    </row>
    <row r="19" spans="1:28" ht="15.75" thickBot="1" x14ac:dyDescent="0.3">
      <c r="A19" s="45" t="s">
        <v>55</v>
      </c>
      <c r="B19" s="66">
        <v>146</v>
      </c>
      <c r="C19" s="32">
        <v>146</v>
      </c>
      <c r="D19" s="32">
        <v>-0.6</v>
      </c>
      <c r="E19" s="32">
        <v>0.9</v>
      </c>
      <c r="F19" s="32">
        <v>2.5</v>
      </c>
      <c r="G19" s="32">
        <v>2.4</v>
      </c>
      <c r="H19" s="32">
        <v>49.6</v>
      </c>
      <c r="I19" s="67">
        <v>47.7</v>
      </c>
      <c r="J19" s="71">
        <v>6.5</v>
      </c>
      <c r="K19" s="32">
        <f>J19-L19</f>
        <v>2.0499999999999998</v>
      </c>
      <c r="L19" s="32">
        <v>4.45</v>
      </c>
      <c r="M19" s="51" t="s">
        <v>51</v>
      </c>
      <c r="N19" s="51">
        <v>2</v>
      </c>
      <c r="O19" s="51">
        <v>3</v>
      </c>
      <c r="P19" s="51">
        <v>4</v>
      </c>
      <c r="Q19" s="32">
        <f>L19-O19</f>
        <v>1.4500000000000002</v>
      </c>
      <c r="R19" s="32">
        <f t="shared" si="2"/>
        <v>-0.25</v>
      </c>
      <c r="S19" s="60">
        <v>6.75</v>
      </c>
      <c r="T19" s="66">
        <v>8</v>
      </c>
      <c r="U19" s="32">
        <v>7.9489999999999998</v>
      </c>
      <c r="V19" s="32">
        <v>66977.05</v>
      </c>
      <c r="W19" s="32">
        <v>67559.78</v>
      </c>
      <c r="X19" s="32">
        <v>57767.33</v>
      </c>
      <c r="Y19" s="32">
        <v>17.421099999999999</v>
      </c>
      <c r="Z19" s="32">
        <v>17.683599999999998</v>
      </c>
      <c r="AA19" s="32">
        <v>19.210100000000001</v>
      </c>
      <c r="AB19" s="78">
        <f t="shared" si="3"/>
        <v>-3.46</v>
      </c>
    </row>
    <row r="20" spans="1:28" ht="15.75" thickBot="1" x14ac:dyDescent="0.3">
      <c r="A20" s="46" t="s">
        <v>56</v>
      </c>
      <c r="B20" s="66">
        <v>112</v>
      </c>
      <c r="C20" s="32">
        <v>111</v>
      </c>
      <c r="D20" s="32">
        <v>-0.3</v>
      </c>
      <c r="E20" s="32">
        <v>0.6</v>
      </c>
      <c r="F20" s="32">
        <v>9.1</v>
      </c>
      <c r="G20" s="32">
        <v>8.9</v>
      </c>
      <c r="H20" s="32" t="s">
        <v>57</v>
      </c>
      <c r="I20" s="67" t="s">
        <v>57</v>
      </c>
      <c r="J20" s="71">
        <v>4.5</v>
      </c>
      <c r="K20" s="32">
        <f>J20-L20</f>
        <v>0.5</v>
      </c>
      <c r="L20" s="32">
        <v>4</v>
      </c>
      <c r="M20" s="51" t="s">
        <v>51</v>
      </c>
      <c r="N20" s="51">
        <v>2</v>
      </c>
      <c r="O20" s="51">
        <v>3</v>
      </c>
      <c r="P20" s="51">
        <v>4</v>
      </c>
      <c r="Q20" s="32">
        <f>L20-O20</f>
        <v>1</v>
      </c>
      <c r="R20" s="32">
        <f t="shared" si="2"/>
        <v>0</v>
      </c>
      <c r="S20" s="60">
        <v>4.5</v>
      </c>
      <c r="T20" s="66">
        <v>5.6</v>
      </c>
      <c r="U20" s="32">
        <v>4.76</v>
      </c>
      <c r="V20" s="32">
        <v>10740.7</v>
      </c>
      <c r="W20" s="32">
        <v>10581.939</v>
      </c>
      <c r="X20" s="32">
        <v>8320.11</v>
      </c>
      <c r="Y20" s="32">
        <v>906.6</v>
      </c>
      <c r="Z20" s="32">
        <v>900.14</v>
      </c>
      <c r="AA20" s="32">
        <v>934.09</v>
      </c>
      <c r="AB20" s="78">
        <f t="shared" si="3"/>
        <v>-1.0599999999999996</v>
      </c>
    </row>
    <row r="21" spans="1:28" ht="15.75" thickBot="1" x14ac:dyDescent="0.3">
      <c r="A21" s="47" t="s">
        <v>58</v>
      </c>
      <c r="B21" s="66"/>
      <c r="C21" s="32"/>
      <c r="D21" s="32"/>
      <c r="E21" s="32"/>
      <c r="F21" s="32"/>
      <c r="G21" s="32"/>
      <c r="H21" s="32"/>
      <c r="I21" s="67"/>
      <c r="J21" s="71"/>
      <c r="K21" s="32"/>
      <c r="L21" s="32"/>
      <c r="M21" s="32"/>
      <c r="N21" s="32"/>
      <c r="O21" s="32"/>
      <c r="P21" s="32"/>
      <c r="Q21" s="32"/>
      <c r="R21" s="32">
        <f t="shared" si="2"/>
        <v>0</v>
      </c>
      <c r="S21" s="61"/>
      <c r="T21" s="66"/>
      <c r="U21" s="32"/>
      <c r="V21" s="32"/>
      <c r="W21" s="32"/>
      <c r="X21" s="32"/>
      <c r="Y21" s="32"/>
      <c r="Z21" s="32"/>
      <c r="AA21" s="32"/>
      <c r="AB21" s="78">
        <f t="shared" si="3"/>
        <v>4.54</v>
      </c>
    </row>
    <row r="22" spans="1:28" ht="15.75" thickBot="1" x14ac:dyDescent="0.3">
      <c r="A22" s="48" t="s">
        <v>59</v>
      </c>
      <c r="B22" s="66">
        <v>106</v>
      </c>
      <c r="C22" s="32">
        <v>105</v>
      </c>
      <c r="D22" s="32">
        <v>0.4</v>
      </c>
      <c r="E22" s="32">
        <v>0.4</v>
      </c>
      <c r="F22" s="32">
        <v>32.700000000000003</v>
      </c>
      <c r="G22" s="32">
        <v>31.4</v>
      </c>
      <c r="H22" s="32">
        <v>50.8</v>
      </c>
      <c r="I22" s="67">
        <v>52.6</v>
      </c>
      <c r="J22" s="71">
        <v>7</v>
      </c>
      <c r="K22" s="32">
        <f>J22-L22</f>
        <v>3</v>
      </c>
      <c r="L22" s="32">
        <v>4</v>
      </c>
      <c r="M22" s="51" t="s">
        <v>60</v>
      </c>
      <c r="N22" s="51">
        <v>3</v>
      </c>
      <c r="O22" s="51">
        <v>4.5</v>
      </c>
      <c r="P22" s="51">
        <v>6</v>
      </c>
      <c r="Q22" s="32">
        <f>L22-O22</f>
        <v>-0.5</v>
      </c>
      <c r="R22" s="32">
        <f t="shared" si="2"/>
        <v>0.25</v>
      </c>
      <c r="S22" s="60">
        <v>6.75</v>
      </c>
      <c r="T22" s="66">
        <v>8.6649999999999991</v>
      </c>
      <c r="U22" s="32">
        <v>8.1150000000000002</v>
      </c>
      <c r="V22" s="32">
        <v>110253.9</v>
      </c>
      <c r="W22" s="32">
        <v>117398.5</v>
      </c>
      <c r="X22" s="32">
        <v>96404.14</v>
      </c>
      <c r="Y22" s="32">
        <v>16.582699999999999</v>
      </c>
      <c r="Z22" s="32">
        <v>16.6691</v>
      </c>
      <c r="AA22" s="32">
        <v>18.061199999999999</v>
      </c>
      <c r="AB22" s="78">
        <f t="shared" si="3"/>
        <v>-4.1249999999999991</v>
      </c>
    </row>
    <row r="23" spans="1:28" ht="15.75" thickBot="1" x14ac:dyDescent="0.3">
      <c r="A23" s="49" t="s">
        <v>61</v>
      </c>
      <c r="B23" s="66">
        <v>127</v>
      </c>
      <c r="C23" s="32">
        <v>121</v>
      </c>
      <c r="D23" s="32">
        <v>0.1</v>
      </c>
      <c r="E23" s="32">
        <v>0.4</v>
      </c>
      <c r="F23" s="32">
        <v>8.1</v>
      </c>
      <c r="G23" s="32">
        <v>8.4</v>
      </c>
      <c r="H23" s="32">
        <v>49.8</v>
      </c>
      <c r="I23" s="67">
        <v>45.7</v>
      </c>
      <c r="J23" s="71">
        <v>37</v>
      </c>
      <c r="K23" s="32">
        <f>J23-L23</f>
        <v>4.6300000000000026</v>
      </c>
      <c r="L23" s="32">
        <v>32.369999999999997</v>
      </c>
      <c r="M23" s="51" t="s">
        <v>62</v>
      </c>
      <c r="N23" s="51">
        <v>3</v>
      </c>
      <c r="O23" s="51">
        <v>5</v>
      </c>
      <c r="P23" s="51">
        <v>7</v>
      </c>
      <c r="Q23" s="32">
        <f>L23-O23</f>
        <v>27.369999999999997</v>
      </c>
      <c r="R23" s="32">
        <f t="shared" si="2"/>
        <v>0</v>
      </c>
      <c r="S23" s="60">
        <v>37</v>
      </c>
      <c r="T23" s="66">
        <v>32.340000000000003</v>
      </c>
      <c r="U23" s="32">
        <v>40.67</v>
      </c>
      <c r="V23" s="32">
        <v>13743.5</v>
      </c>
      <c r="W23" s="32">
        <v>12792.8</v>
      </c>
      <c r="X23" s="32">
        <v>9659.25</v>
      </c>
      <c r="Y23" s="32">
        <v>46.1509</v>
      </c>
      <c r="Z23" s="32">
        <v>44.183500000000002</v>
      </c>
      <c r="AA23" s="32">
        <v>39.720500000000001</v>
      </c>
      <c r="AB23" s="78">
        <f t="shared" si="3"/>
        <v>-27.800000000000004</v>
      </c>
    </row>
    <row r="24" spans="1:28" ht="15.75" customHeight="1" thickBot="1" x14ac:dyDescent="0.3">
      <c r="A24" s="50" t="s">
        <v>63</v>
      </c>
      <c r="B24" s="68">
        <v>105</v>
      </c>
      <c r="C24" s="69">
        <v>105</v>
      </c>
      <c r="D24" s="69">
        <v>-1.5</v>
      </c>
      <c r="E24" s="69">
        <v>1.4</v>
      </c>
      <c r="F24" s="69">
        <v>3.5</v>
      </c>
      <c r="G24" s="69">
        <v>3.4</v>
      </c>
      <c r="H24" s="69">
        <v>52.8</v>
      </c>
      <c r="I24" s="70">
        <v>51.5</v>
      </c>
      <c r="J24" s="71">
        <v>4.25</v>
      </c>
      <c r="K24" s="32">
        <f>J24-L24</f>
        <v>2.5499999999999998</v>
      </c>
      <c r="L24" s="32">
        <v>1.7</v>
      </c>
      <c r="M24" s="32" t="s">
        <v>64</v>
      </c>
      <c r="N24" s="32"/>
      <c r="O24" s="32"/>
      <c r="P24" s="32"/>
      <c r="Q24" s="32" t="s">
        <v>57</v>
      </c>
      <c r="R24" s="32">
        <f t="shared" si="2"/>
        <v>0</v>
      </c>
      <c r="S24" s="60">
        <v>4.25</v>
      </c>
      <c r="T24" s="68">
        <v>5.14</v>
      </c>
      <c r="U24" s="69">
        <v>4.0999999999999996</v>
      </c>
      <c r="V24" s="69">
        <v>11042.02</v>
      </c>
      <c r="W24" s="69">
        <v>10565.74</v>
      </c>
      <c r="X24" s="69">
        <v>10990.41</v>
      </c>
      <c r="Y24" s="69">
        <v>3.6899000000000002</v>
      </c>
      <c r="Z24" s="69">
        <v>3.7481</v>
      </c>
      <c r="AA24" s="69">
        <v>3.7517</v>
      </c>
      <c r="AB24" s="78">
        <f t="shared" si="3"/>
        <v>-0.59999999999999964</v>
      </c>
    </row>
    <row r="26" spans="1:28" x14ac:dyDescent="0.25">
      <c r="A26" s="27" t="s">
        <v>65</v>
      </c>
      <c r="B26" t="s">
        <v>66</v>
      </c>
    </row>
    <row r="27" spans="1:28" x14ac:dyDescent="0.25">
      <c r="A27" s="27" t="s">
        <v>67</v>
      </c>
      <c r="B27" t="s">
        <v>68</v>
      </c>
    </row>
    <row r="28" spans="1:28" x14ac:dyDescent="0.25">
      <c r="A28" s="27" t="s">
        <v>69</v>
      </c>
      <c r="B28" t="s">
        <v>70</v>
      </c>
    </row>
  </sheetData>
  <mergeCells count="3">
    <mergeCell ref="B1:I1"/>
    <mergeCell ref="J1:S1"/>
    <mergeCell ref="T1:A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20"/>
  <sheetViews>
    <sheetView workbookViewId="0">
      <selection activeCell="E6" sqref="E6"/>
    </sheetView>
  </sheetViews>
  <sheetFormatPr defaultRowHeight="15" x14ac:dyDescent="0.25"/>
  <cols>
    <col min="1" max="1" width="12.28515625" bestFit="1" customWidth="1"/>
    <col min="2" max="2" width="12" bestFit="1" customWidth="1"/>
    <col min="3" max="3" width="10.42578125" bestFit="1" customWidth="1"/>
  </cols>
  <sheetData>
    <row r="1" spans="1:6" x14ac:dyDescent="0.25">
      <c r="A1" s="77" t="s">
        <v>0</v>
      </c>
      <c r="B1" s="77" t="s">
        <v>144</v>
      </c>
      <c r="C1" s="77" t="s">
        <v>145</v>
      </c>
      <c r="E1" s="141" t="s">
        <v>219</v>
      </c>
      <c r="F1" s="141"/>
    </row>
    <row r="2" spans="1:6" x14ac:dyDescent="0.25">
      <c r="A2" s="36" t="s">
        <v>32</v>
      </c>
      <c r="B2" t="s">
        <v>146</v>
      </c>
      <c r="C2" t="s">
        <v>147</v>
      </c>
      <c r="E2" s="77" t="s">
        <v>217</v>
      </c>
      <c r="F2" s="77" t="s">
        <v>218</v>
      </c>
    </row>
    <row r="3" spans="1:6" x14ac:dyDescent="0.25">
      <c r="A3" s="37" t="s">
        <v>33</v>
      </c>
      <c r="B3" t="s">
        <v>148</v>
      </c>
      <c r="C3" t="s">
        <v>149</v>
      </c>
      <c r="E3">
        <v>1</v>
      </c>
      <c r="F3">
        <v>19</v>
      </c>
    </row>
    <row r="4" spans="1:6" x14ac:dyDescent="0.25">
      <c r="A4" s="37" t="s">
        <v>34</v>
      </c>
      <c r="B4" t="s">
        <v>150</v>
      </c>
      <c r="C4" t="s">
        <v>151</v>
      </c>
      <c r="E4">
        <v>2</v>
      </c>
      <c r="F4">
        <v>18</v>
      </c>
    </row>
    <row r="5" spans="1:6" x14ac:dyDescent="0.25">
      <c r="A5" s="37" t="s">
        <v>35</v>
      </c>
      <c r="B5" t="s">
        <v>152</v>
      </c>
      <c r="C5" t="s">
        <v>153</v>
      </c>
      <c r="E5">
        <v>3</v>
      </c>
      <c r="F5">
        <v>17</v>
      </c>
    </row>
    <row r="6" spans="1:6" x14ac:dyDescent="0.25">
      <c r="A6" s="37" t="s">
        <v>36</v>
      </c>
      <c r="B6" t="s">
        <v>154</v>
      </c>
      <c r="C6" t="s">
        <v>155</v>
      </c>
      <c r="E6">
        <v>4</v>
      </c>
      <c r="F6">
        <v>16</v>
      </c>
    </row>
    <row r="7" spans="1:6" x14ac:dyDescent="0.25">
      <c r="A7" s="37" t="s">
        <v>38</v>
      </c>
      <c r="B7" t="s">
        <v>156</v>
      </c>
      <c r="C7" t="s">
        <v>157</v>
      </c>
      <c r="E7">
        <v>5</v>
      </c>
      <c r="F7">
        <v>15</v>
      </c>
    </row>
    <row r="8" spans="1:6" x14ac:dyDescent="0.25">
      <c r="A8" s="37" t="s">
        <v>40</v>
      </c>
      <c r="B8" t="s">
        <v>158</v>
      </c>
      <c r="C8" t="s">
        <v>159</v>
      </c>
    </row>
    <row r="9" spans="1:6" x14ac:dyDescent="0.25">
      <c r="A9" s="38" t="s">
        <v>41</v>
      </c>
      <c r="B9" t="s">
        <v>160</v>
      </c>
      <c r="C9" t="s">
        <v>161</v>
      </c>
    </row>
    <row r="10" spans="1:6" x14ac:dyDescent="0.25">
      <c r="A10" s="40" t="s">
        <v>44</v>
      </c>
      <c r="B10" t="s">
        <v>162</v>
      </c>
      <c r="C10" t="s">
        <v>163</v>
      </c>
    </row>
    <row r="11" spans="1:6" x14ac:dyDescent="0.25">
      <c r="A11" s="41" t="s">
        <v>46</v>
      </c>
      <c r="B11" t="s">
        <v>164</v>
      </c>
      <c r="C11" t="s">
        <v>165</v>
      </c>
    </row>
    <row r="12" spans="1:6" x14ac:dyDescent="0.25">
      <c r="A12" s="41" t="s">
        <v>48</v>
      </c>
      <c r="B12" t="s">
        <v>166</v>
      </c>
      <c r="C12" t="s">
        <v>167</v>
      </c>
    </row>
    <row r="13" spans="1:6" x14ac:dyDescent="0.25">
      <c r="A13" s="41" t="s">
        <v>49</v>
      </c>
      <c r="B13" t="s">
        <v>168</v>
      </c>
      <c r="C13" t="s">
        <v>169</v>
      </c>
    </row>
    <row r="14" spans="1:6" x14ac:dyDescent="0.25">
      <c r="A14" s="42" t="s">
        <v>50</v>
      </c>
      <c r="B14" t="s">
        <v>170</v>
      </c>
      <c r="C14" t="s">
        <v>171</v>
      </c>
    </row>
    <row r="15" spans="1:6" x14ac:dyDescent="0.25">
      <c r="A15" s="44" t="s">
        <v>53</v>
      </c>
      <c r="B15" t="s">
        <v>172</v>
      </c>
      <c r="C15" t="s">
        <v>173</v>
      </c>
    </row>
    <row r="16" spans="1:6" x14ac:dyDescent="0.25">
      <c r="A16" s="45" t="s">
        <v>55</v>
      </c>
      <c r="B16" t="s">
        <v>174</v>
      </c>
      <c r="C16" t="s">
        <v>175</v>
      </c>
    </row>
    <row r="17" spans="1:3" x14ac:dyDescent="0.25">
      <c r="A17" s="46" t="s">
        <v>56</v>
      </c>
      <c r="B17" t="s">
        <v>176</v>
      </c>
      <c r="C17" t="s">
        <v>177</v>
      </c>
    </row>
    <row r="18" spans="1:3" x14ac:dyDescent="0.25">
      <c r="A18" s="48" t="s">
        <v>59</v>
      </c>
      <c r="B18" t="s">
        <v>178</v>
      </c>
      <c r="C18" t="s">
        <v>179</v>
      </c>
    </row>
    <row r="19" spans="1:3" x14ac:dyDescent="0.25">
      <c r="A19" s="49" t="s">
        <v>61</v>
      </c>
      <c r="B19" t="s">
        <v>180</v>
      </c>
      <c r="C19" t="s">
        <v>181</v>
      </c>
    </row>
    <row r="20" spans="1:3" x14ac:dyDescent="0.25">
      <c r="A20" s="50" t="s">
        <v>63</v>
      </c>
      <c r="B20" t="s">
        <v>182</v>
      </c>
      <c r="C20" t="s">
        <v>183</v>
      </c>
    </row>
  </sheetData>
  <mergeCells count="1">
    <mergeCell ref="E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FDC36-491E-4C3D-8A3F-9185F934837A}">
  <sheetPr codeName="Sheet6"/>
  <dimension ref="A1"/>
  <sheetViews>
    <sheetView topLeftCell="DB1" workbookViewId="0">
      <selection activeCell="DR10" sqref="DR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Methodology &amp; User Guide</vt:lpstr>
      <vt:lpstr>Macro Regime Monitor</vt:lpstr>
      <vt:lpstr>Central Bank Comparator</vt:lpstr>
      <vt:lpstr>Master Raw Data</vt:lpstr>
      <vt:lpstr>Ticker Map</vt:lpstr>
      <vt:lpstr>Policy Divergence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NIHALANI, Simran</dc:creator>
  <cp:lastModifiedBy>NIHALANI, Simran</cp:lastModifiedBy>
  <dcterms:created xsi:type="dcterms:W3CDTF">2026-06-01T04:39:15Z</dcterms:created>
  <dcterms:modified xsi:type="dcterms:W3CDTF">2026-06-16T11:19:21Z</dcterms:modified>
</cp:coreProperties>
</file>